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oordenador - Coext\Downloads\"/>
    </mc:Choice>
  </mc:AlternateContent>
  <xr:revisionPtr revIDLastSave="0" documentId="13_ncr:1_{CB603605-9486-4398-8F4F-4158895383D2}" xr6:coauthVersionLast="47" xr6:coauthVersionMax="47" xr10:uidLastSave="{00000000-0000-0000-0000-000000000000}"/>
  <bookViews>
    <workbookView xWindow="-120" yWindow="-120" windowWidth="20730" windowHeight="11160" xr2:uid="{29A596BF-2997-4BD8-A625-A6EF1C35F8AB}"/>
  </bookViews>
  <sheets>
    <sheet name="savedrecs" sheetId="1" r:id="rId1"/>
    <sheet name="Folha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T283" i="1" l="1"/>
  <c r="BT282" i="1"/>
  <c r="BT281" i="1"/>
  <c r="BT280" i="1"/>
  <c r="BT279" i="1"/>
  <c r="BT278" i="1"/>
  <c r="BT277" i="1"/>
  <c r="BT276" i="1"/>
  <c r="BT275" i="1"/>
  <c r="BT274" i="1"/>
  <c r="BT273" i="1"/>
  <c r="BT272" i="1"/>
  <c r="BT271" i="1"/>
  <c r="BT270" i="1"/>
  <c r="BT269" i="1"/>
  <c r="BT268" i="1"/>
  <c r="BT267" i="1"/>
  <c r="BT266" i="1"/>
  <c r="BT265" i="1"/>
  <c r="BT264" i="1"/>
  <c r="BT263" i="1"/>
  <c r="BT262" i="1"/>
  <c r="BT261" i="1"/>
  <c r="BT260" i="1"/>
  <c r="BT259" i="1"/>
  <c r="BT258" i="1"/>
  <c r="BT257" i="1"/>
  <c r="BT256" i="1"/>
  <c r="BT255" i="1"/>
  <c r="BT254" i="1"/>
  <c r="BT253" i="1"/>
  <c r="BT252" i="1"/>
  <c r="BT251" i="1"/>
  <c r="BT250" i="1"/>
  <c r="BT249" i="1"/>
  <c r="BT248" i="1"/>
  <c r="BT247" i="1"/>
  <c r="BT246" i="1"/>
  <c r="BT245" i="1"/>
  <c r="BT244" i="1"/>
  <c r="BT243" i="1"/>
  <c r="BT242" i="1"/>
  <c r="BT241" i="1"/>
  <c r="BT240" i="1"/>
  <c r="BT239" i="1"/>
  <c r="BT238" i="1"/>
  <c r="BT237" i="1"/>
  <c r="BT236" i="1"/>
  <c r="BT235" i="1"/>
  <c r="BT234" i="1"/>
  <c r="BT233" i="1"/>
  <c r="BT232" i="1"/>
  <c r="BT231" i="1"/>
  <c r="BT230" i="1"/>
  <c r="BT229" i="1"/>
  <c r="BT228" i="1"/>
  <c r="BT227" i="1"/>
  <c r="BT226" i="1"/>
  <c r="BT225" i="1"/>
  <c r="BT224" i="1"/>
  <c r="BT223" i="1"/>
  <c r="BT222" i="1"/>
  <c r="BT221" i="1"/>
  <c r="BT220" i="1"/>
  <c r="BT219" i="1"/>
  <c r="BT218" i="1"/>
  <c r="BT217" i="1"/>
  <c r="BT216" i="1"/>
  <c r="BT215" i="1"/>
  <c r="BT214" i="1"/>
  <c r="BT213" i="1"/>
  <c r="BT212" i="1"/>
  <c r="BT211" i="1"/>
  <c r="BT210" i="1"/>
  <c r="BT209" i="1"/>
  <c r="BT208" i="1"/>
  <c r="BT207" i="1"/>
  <c r="BT206" i="1"/>
  <c r="BT205" i="1"/>
  <c r="BT204" i="1"/>
  <c r="BT203" i="1"/>
  <c r="BT202" i="1"/>
  <c r="BT201" i="1"/>
  <c r="BT200" i="1"/>
  <c r="BT199" i="1"/>
  <c r="BT198" i="1"/>
  <c r="BT197" i="1"/>
  <c r="BT196" i="1"/>
  <c r="BT195" i="1"/>
  <c r="BT194" i="1"/>
  <c r="BT193" i="1"/>
  <c r="BT192" i="1"/>
  <c r="BT191" i="1"/>
  <c r="BT190" i="1"/>
  <c r="BT189" i="1"/>
  <c r="BT188" i="1"/>
  <c r="BT187" i="1"/>
  <c r="BT186" i="1"/>
  <c r="BT185" i="1"/>
  <c r="BT184" i="1"/>
  <c r="BT183" i="1"/>
  <c r="BT182" i="1"/>
  <c r="BT181" i="1"/>
  <c r="BT180" i="1"/>
  <c r="BT179" i="1"/>
  <c r="BT178" i="1"/>
  <c r="BT177" i="1"/>
  <c r="BT176" i="1"/>
  <c r="BT175" i="1"/>
  <c r="BT174" i="1"/>
  <c r="BT173" i="1"/>
  <c r="BT172" i="1"/>
  <c r="BT171" i="1"/>
  <c r="BT170" i="1"/>
  <c r="BT169" i="1"/>
  <c r="BT168" i="1"/>
  <c r="BT167" i="1"/>
  <c r="BT166" i="1"/>
  <c r="BT165" i="1"/>
  <c r="BT164" i="1"/>
  <c r="BT163" i="1"/>
  <c r="BT162" i="1"/>
  <c r="BT161" i="1"/>
  <c r="BT160" i="1"/>
  <c r="BT159" i="1"/>
  <c r="BT158" i="1"/>
  <c r="BT157" i="1"/>
  <c r="BT156" i="1"/>
  <c r="BT155" i="1"/>
  <c r="BT154" i="1"/>
  <c r="BT153" i="1"/>
  <c r="BT152" i="1"/>
  <c r="BT151" i="1"/>
  <c r="BT150" i="1"/>
  <c r="BT149" i="1"/>
  <c r="BT148" i="1"/>
  <c r="BT147" i="1"/>
  <c r="BT146" i="1"/>
  <c r="BT145" i="1"/>
  <c r="BT144" i="1"/>
  <c r="BT143" i="1"/>
  <c r="BT142" i="1"/>
  <c r="BT141" i="1"/>
  <c r="BT140" i="1"/>
  <c r="BT139" i="1"/>
  <c r="BT138" i="1"/>
  <c r="BT137" i="1"/>
  <c r="BT136" i="1"/>
  <c r="BT135" i="1"/>
  <c r="BT134" i="1"/>
  <c r="BT133" i="1"/>
  <c r="BT132" i="1"/>
  <c r="BT131" i="1"/>
  <c r="BT130" i="1"/>
  <c r="BT129" i="1"/>
  <c r="BT128" i="1"/>
  <c r="BT127" i="1"/>
  <c r="BT126" i="1"/>
  <c r="BT125" i="1"/>
  <c r="BT124" i="1"/>
  <c r="BT123" i="1"/>
  <c r="BT122" i="1"/>
  <c r="BT121" i="1"/>
  <c r="BT120" i="1"/>
  <c r="BT119" i="1"/>
  <c r="BT118" i="1"/>
  <c r="BT117" i="1"/>
  <c r="BT116" i="1"/>
  <c r="BT115" i="1"/>
  <c r="BT114" i="1"/>
  <c r="BT113" i="1"/>
  <c r="BT112" i="1"/>
  <c r="BT111" i="1"/>
  <c r="BT110" i="1"/>
  <c r="BT109" i="1"/>
  <c r="BT108" i="1"/>
  <c r="BT107" i="1"/>
  <c r="BT106" i="1"/>
  <c r="BT105" i="1"/>
  <c r="BT104" i="1"/>
  <c r="BT103" i="1"/>
  <c r="BT102" i="1"/>
  <c r="BT101" i="1"/>
  <c r="BT100" i="1"/>
  <c r="BT99" i="1"/>
  <c r="BT98" i="1"/>
  <c r="BT97" i="1"/>
  <c r="BT96" i="1"/>
  <c r="BT95" i="1"/>
  <c r="BT94" i="1"/>
  <c r="BT93" i="1"/>
  <c r="BT92" i="1"/>
  <c r="BT91" i="1"/>
  <c r="BT90" i="1"/>
  <c r="BT89" i="1"/>
  <c r="BT88" i="1"/>
  <c r="BT87" i="1"/>
  <c r="BT86" i="1"/>
  <c r="BT85" i="1"/>
  <c r="BT84" i="1"/>
  <c r="BT83" i="1"/>
  <c r="BT82" i="1"/>
  <c r="BT81" i="1"/>
  <c r="BT80" i="1"/>
  <c r="BT79" i="1"/>
  <c r="BT78" i="1"/>
  <c r="BT77" i="1"/>
  <c r="BT76" i="1"/>
  <c r="BT75" i="1"/>
  <c r="BT74" i="1"/>
  <c r="BT73" i="1"/>
  <c r="BT72" i="1"/>
  <c r="BT71" i="1"/>
  <c r="BT70" i="1"/>
  <c r="BT69" i="1"/>
  <c r="BT68" i="1"/>
  <c r="BT67" i="1"/>
  <c r="BT66" i="1"/>
  <c r="BT65" i="1"/>
  <c r="BT64" i="1"/>
  <c r="BT63" i="1"/>
  <c r="BT62" i="1"/>
  <c r="BT61" i="1"/>
  <c r="BT60" i="1"/>
  <c r="BT59" i="1"/>
  <c r="BT58" i="1"/>
  <c r="BT57" i="1"/>
  <c r="BT56" i="1"/>
  <c r="BT55" i="1"/>
  <c r="BT54" i="1"/>
  <c r="BT53" i="1"/>
  <c r="BT52" i="1"/>
  <c r="BT51" i="1"/>
  <c r="BT50" i="1"/>
  <c r="BT49" i="1"/>
  <c r="BT48" i="1"/>
  <c r="BT47" i="1"/>
  <c r="BT46" i="1"/>
  <c r="BT45" i="1"/>
  <c r="BT44" i="1"/>
  <c r="BT43" i="1"/>
  <c r="BT42" i="1"/>
  <c r="BT41" i="1"/>
  <c r="BT40" i="1"/>
  <c r="BT39" i="1"/>
  <c r="BT38" i="1"/>
  <c r="BT37" i="1"/>
  <c r="BT36" i="1"/>
  <c r="BT35" i="1"/>
  <c r="BT34" i="1"/>
  <c r="BT33" i="1"/>
  <c r="BT32" i="1"/>
  <c r="BT31" i="1"/>
  <c r="BT30" i="1"/>
  <c r="BT29" i="1"/>
  <c r="BT28" i="1"/>
  <c r="BT27" i="1"/>
  <c r="BT26" i="1"/>
  <c r="BT25" i="1"/>
  <c r="BT24" i="1"/>
  <c r="BT23" i="1"/>
  <c r="BT22" i="1"/>
  <c r="BT21" i="1"/>
  <c r="BT20" i="1"/>
  <c r="BT19" i="1"/>
  <c r="BT18" i="1"/>
  <c r="BT17" i="1"/>
  <c r="BT16" i="1"/>
  <c r="BT15" i="1"/>
  <c r="BT14" i="1"/>
  <c r="BT13" i="1"/>
  <c r="BT12" i="1"/>
  <c r="BT11" i="1"/>
  <c r="BT10" i="1"/>
  <c r="BT9" i="1"/>
  <c r="BT8" i="1"/>
  <c r="BT7" i="1"/>
  <c r="BT6" i="1"/>
  <c r="BT5" i="1"/>
  <c r="BT4" i="1"/>
  <c r="BT3" i="1"/>
  <c r="BT2" i="1"/>
  <c r="BF2" i="1"/>
  <c r="BF3" i="1"/>
  <c r="BF5" i="1"/>
  <c r="BF6" i="1"/>
  <c r="BF8" i="1"/>
  <c r="BF9" i="1"/>
  <c r="BF10" i="1"/>
  <c r="BF11" i="1"/>
  <c r="BF12" i="1"/>
  <c r="BF13" i="1"/>
  <c r="BF14" i="1"/>
  <c r="BF15" i="1"/>
  <c r="BF16" i="1"/>
  <c r="BF17" i="1"/>
  <c r="BF18" i="1"/>
  <c r="BF19" i="1"/>
  <c r="BF21" i="1"/>
  <c r="BF22" i="1"/>
  <c r="BF23" i="1"/>
  <c r="BF24" i="1"/>
  <c r="BF25" i="1"/>
  <c r="BF26" i="1"/>
  <c r="BF27" i="1"/>
  <c r="BF28" i="1"/>
  <c r="BF29" i="1"/>
  <c r="BF30" i="1"/>
  <c r="BF31" i="1"/>
  <c r="BF32" i="1"/>
  <c r="BF33" i="1"/>
  <c r="BF34" i="1"/>
  <c r="BF35" i="1"/>
  <c r="BF37" i="1"/>
  <c r="BF38" i="1"/>
  <c r="BF39" i="1"/>
  <c r="BF40" i="1"/>
  <c r="BF42" i="1"/>
  <c r="BF44" i="1"/>
  <c r="BF45" i="1"/>
  <c r="BF46" i="1"/>
  <c r="BF47" i="1"/>
  <c r="BF49" i="1"/>
  <c r="BF50" i="1"/>
  <c r="BF51" i="1"/>
  <c r="BF52" i="1"/>
  <c r="BF53" i="1"/>
  <c r="BF54" i="1"/>
  <c r="BF55" i="1"/>
  <c r="BF56" i="1"/>
  <c r="BF57" i="1"/>
  <c r="BF59" i="1"/>
  <c r="BF60" i="1"/>
  <c r="BF61" i="1"/>
  <c r="BF62" i="1"/>
  <c r="BF63" i="1"/>
  <c r="BF64" i="1"/>
  <c r="BF65" i="1"/>
  <c r="BF66" i="1"/>
  <c r="BF67" i="1"/>
  <c r="BF68" i="1"/>
  <c r="BF69" i="1"/>
  <c r="BF71" i="1"/>
  <c r="BF72" i="1"/>
  <c r="BF73" i="1"/>
  <c r="BF74" i="1"/>
  <c r="BF75" i="1"/>
  <c r="BF76" i="1"/>
  <c r="BF77" i="1"/>
  <c r="BF78" i="1"/>
  <c r="BF79" i="1"/>
  <c r="BF80" i="1"/>
  <c r="BF81" i="1"/>
  <c r="BF82" i="1"/>
  <c r="BF83" i="1"/>
  <c r="BF85" i="1"/>
  <c r="BF86" i="1"/>
  <c r="BF87" i="1"/>
  <c r="BF89" i="1"/>
  <c r="BF90" i="1"/>
  <c r="BF91" i="1"/>
  <c r="BF92" i="1"/>
  <c r="BF93" i="1"/>
  <c r="BF94" i="1"/>
  <c r="BF95" i="1"/>
  <c r="BF96" i="1"/>
  <c r="BF97" i="1"/>
  <c r="BF98" i="1"/>
  <c r="BF99" i="1"/>
  <c r="BF100" i="1"/>
  <c r="BF101" i="1"/>
  <c r="BF102" i="1"/>
  <c r="BF105" i="1"/>
  <c r="BF106" i="1"/>
  <c r="BF107" i="1"/>
  <c r="BF108" i="1"/>
  <c r="BF109" i="1"/>
  <c r="BF110" i="1"/>
  <c r="BF111" i="1"/>
  <c r="BF113" i="1"/>
  <c r="BF114" i="1"/>
  <c r="BF115" i="1"/>
  <c r="BF116" i="1"/>
  <c r="BF117" i="1"/>
  <c r="BF118" i="1"/>
  <c r="BF119" i="1"/>
  <c r="BF120" i="1"/>
  <c r="BF121" i="1"/>
  <c r="BF122" i="1"/>
  <c r="BF123" i="1"/>
  <c r="BF124" i="1"/>
  <c r="BF125" i="1"/>
  <c r="BF126" i="1"/>
  <c r="BF128" i="1"/>
  <c r="BF129" i="1"/>
  <c r="BF130" i="1"/>
  <c r="BF131" i="1"/>
  <c r="BF132" i="1"/>
  <c r="BF133" i="1"/>
  <c r="BF134" i="1"/>
  <c r="BF135" i="1"/>
  <c r="BF136" i="1"/>
  <c r="BF137" i="1"/>
  <c r="BF138" i="1"/>
  <c r="BF139" i="1"/>
  <c r="BF140" i="1"/>
  <c r="BF142" i="1"/>
  <c r="BF143" i="1"/>
  <c r="BF144" i="1"/>
  <c r="BF145" i="1"/>
  <c r="BF146" i="1"/>
  <c r="BF147" i="1"/>
  <c r="BF148" i="1"/>
  <c r="BF149" i="1"/>
  <c r="BF150" i="1"/>
  <c r="BF151" i="1"/>
  <c r="BF152" i="1"/>
  <c r="BF154" i="1"/>
  <c r="BF155" i="1"/>
  <c r="BF156" i="1"/>
  <c r="BF157" i="1"/>
  <c r="BF158" i="1"/>
  <c r="BF159" i="1"/>
  <c r="BF160" i="1"/>
  <c r="BF161" i="1"/>
  <c r="BF162" i="1"/>
  <c r="BF163" i="1"/>
  <c r="BF164" i="1"/>
  <c r="BF165" i="1"/>
  <c r="BF166" i="1"/>
  <c r="BF167" i="1"/>
  <c r="BF168" i="1"/>
  <c r="BF170" i="1"/>
  <c r="BF171" i="1"/>
  <c r="BF172" i="1"/>
  <c r="BF173" i="1"/>
  <c r="BF174" i="1"/>
  <c r="BF175" i="1"/>
  <c r="BF176" i="1"/>
  <c r="BF178" i="1"/>
  <c r="BF179" i="1"/>
  <c r="BF180" i="1"/>
  <c r="BF181" i="1"/>
  <c r="BF182" i="1"/>
  <c r="BF183" i="1"/>
  <c r="BF184" i="1"/>
  <c r="BF185" i="1"/>
  <c r="BF186" i="1"/>
  <c r="BF187" i="1"/>
  <c r="BF188" i="1"/>
  <c r="BF189" i="1"/>
  <c r="BF190" i="1"/>
  <c r="BF192" i="1"/>
  <c r="BF193" i="1"/>
  <c r="BF194" i="1"/>
  <c r="BF196" i="1"/>
  <c r="BF197" i="1"/>
  <c r="BF198" i="1"/>
  <c r="BF199" i="1"/>
  <c r="BF200" i="1"/>
  <c r="BF201" i="1"/>
  <c r="BF202" i="1"/>
  <c r="BF203" i="1"/>
  <c r="BF204" i="1"/>
  <c r="BF205" i="1"/>
  <c r="BF206" i="1"/>
  <c r="BF207" i="1"/>
  <c r="BF208" i="1"/>
  <c r="BF209" i="1"/>
  <c r="BF210" i="1"/>
  <c r="BF211" i="1"/>
  <c r="BF212" i="1"/>
  <c r="BF213" i="1"/>
  <c r="BF214" i="1"/>
  <c r="BF215" i="1"/>
  <c r="BF216" i="1"/>
  <c r="BF217" i="1"/>
  <c r="BF218" i="1"/>
  <c r="BF219" i="1"/>
  <c r="BF220" i="1"/>
  <c r="BF221" i="1"/>
  <c r="BF222" i="1"/>
  <c r="BF223" i="1"/>
  <c r="BF224" i="1"/>
  <c r="BF225" i="1"/>
  <c r="BF226" i="1"/>
  <c r="BF227" i="1"/>
  <c r="BF228" i="1"/>
  <c r="BF229" i="1"/>
  <c r="BF230" i="1"/>
  <c r="BF231" i="1"/>
  <c r="BF232" i="1"/>
  <c r="BF233" i="1"/>
  <c r="BF234" i="1"/>
  <c r="BF235" i="1"/>
  <c r="BF236" i="1"/>
  <c r="BF237" i="1"/>
  <c r="BF238" i="1"/>
  <c r="BF239" i="1"/>
  <c r="BF240" i="1"/>
  <c r="BF241" i="1"/>
  <c r="BF242" i="1"/>
  <c r="BF243" i="1"/>
  <c r="BF245" i="1"/>
  <c r="BF246" i="1"/>
  <c r="BF247" i="1"/>
  <c r="BF248" i="1"/>
  <c r="BF249" i="1"/>
  <c r="BF250" i="1"/>
  <c r="BF251" i="1"/>
  <c r="BF252" i="1"/>
  <c r="BF253" i="1"/>
  <c r="BF254" i="1"/>
  <c r="BF255" i="1"/>
  <c r="BF256" i="1"/>
  <c r="BF257" i="1"/>
  <c r="BF258" i="1"/>
  <c r="BF259" i="1"/>
  <c r="BF260" i="1"/>
  <c r="BF261" i="1"/>
  <c r="BF262" i="1"/>
  <c r="BF263" i="1"/>
  <c r="BF264" i="1"/>
  <c r="BF265" i="1"/>
  <c r="BF266" i="1"/>
  <c r="BF267" i="1"/>
  <c r="BF268" i="1"/>
  <c r="BF269" i="1"/>
  <c r="BF271" i="1"/>
  <c r="BF272" i="1"/>
  <c r="BF274" i="1"/>
  <c r="BF275" i="1"/>
  <c r="BF276" i="1"/>
  <c r="BF277" i="1"/>
  <c r="BF278" i="1"/>
  <c r="BF279" i="1"/>
  <c r="BF281" i="1"/>
  <c r="BF282" i="1"/>
  <c r="BF283" i="1"/>
</calcChain>
</file>

<file path=xl/sharedStrings.xml><?xml version="1.0" encoding="utf-8"?>
<sst xmlns="http://schemas.openxmlformats.org/spreadsheetml/2006/main" count="16791" uniqueCount="5321">
  <si>
    <t>Authors</t>
  </si>
  <si>
    <t>Language</t>
  </si>
  <si>
    <t>Abstract</t>
  </si>
  <si>
    <t>Addresses</t>
  </si>
  <si>
    <t>Affiliations</t>
  </si>
  <si>
    <t>ORCIDs</t>
  </si>
  <si>
    <t>Publisher</t>
  </si>
  <si>
    <t>ISSN</t>
  </si>
  <si>
    <t>eISSN</t>
  </si>
  <si>
    <t>ISBN</t>
  </si>
  <si>
    <t>Volume</t>
  </si>
  <si>
    <t>Issue</t>
  </si>
  <si>
    <t>Supplement</t>
  </si>
  <si>
    <t>DOI</t>
  </si>
  <si>
    <t>S</t>
  </si>
  <si>
    <t>Li, X; Zhu, CS; Wang, JK; Yu, JM</t>
  </si>
  <si>
    <t/>
  </si>
  <si>
    <t>Sparks, DL</t>
  </si>
  <si>
    <t>Li, Xin; Zhu, Chengsong; Wang, Jiankang; Yu, Jianming</t>
  </si>
  <si>
    <t>COMPUTER SIMULATION IN PLANT BREEDING</t>
  </si>
  <si>
    <t>ADVANCES IN AGRONOMY, VOL 116</t>
  </si>
  <si>
    <t>Advances in Agronomy</t>
  </si>
  <si>
    <t>English</t>
  </si>
  <si>
    <t>Review; Book Chapter</t>
  </si>
  <si>
    <t>MARKER-ASSISTED SELECTION; QUANTITATIVE TRAIT LOCI; BACKCROSS-QTL ANALYSIS; GENOMEWIDE SELECTION; RECURRENT SELECTION; ENVIRONMENT INTERACTIONS; LINKAGE DISEQUILIBRIUM; GENETIC ARCHITECTURE; CROP SIMULATION; PARENTAL SELECTION</t>
  </si>
  <si>
    <t>As a bridge between theory and experimentation, computer simulation has become a powerful tool in scientific research, providing not only preliminary validation of theories but also guidelines for empirical experiments. Plant breeding focuses on developing superior genotypes with available genetic and nongenetic resources, and improved plant-breeding methods maximize genetic gain and cost-effectiveness. Computer simulation can lay out the breeding process in silico and identify optimal candidates for various scenarios; empirical validation can then follow. Insights gained from empirical studies, in turn, can be incorporated into computer simulations. In this review, we discuss different applications of computer simulation in plant breeding. First, we briefly summarize the history of plant breeding and computer simulation and how computer simulation can facilitate the breeding process. Next, we partition the utility of computer simulation into different research areas of plant breeding, including breeding method comparison, genetic mapping, gene network and genotype-by-environment interaction simulation, and crop modeling. Then we discuss computational issues involved in simulation. Finally, we offer some perspectives on the future of computer simulation in plant breeding.</t>
  </si>
  <si>
    <t>[Li, Xin; Zhu, Chengsong; Yu, Jianming] Kansas State Univ, Dept Agron, Manhattan, KS 66506 USA; [Wang, Jiankang] Chinese Acad Agr Sci, Inst Crop Sci, Beijing 100193, Peoples R China; [Wang, Jiankang] Chinese Acad Agr Sci, CIMMYT China, Beijing 100193, Peoples R China</t>
  </si>
  <si>
    <t>Kansas State University; Chinese Academy of Agricultural Sciences; Institute of Crop Sciences, CAAS; Chinese Academy of Agricultural Sciences</t>
  </si>
  <si>
    <t>Li, X (corresponding author), Kansas State Univ, Dept Agron, Manhattan, KS 66506 USA.</t>
  </si>
  <si>
    <t>Yu, Jianming/Q-6722-2019</t>
  </si>
  <si>
    <t>Yu, Jianming/0000-0001-5326-3099</t>
  </si>
  <si>
    <t>ELSEVIER ACADEMIC PRESS INC</t>
  </si>
  <si>
    <t>SAN DIEGO</t>
  </si>
  <si>
    <t>525 B STREET, SUITE 1900, SAN DIEGO, CA 92101-4495 USA</t>
  </si>
  <si>
    <t>0065-2113</t>
  </si>
  <si>
    <t>2213-6789</t>
  </si>
  <si>
    <t>978-0-12-394277-7</t>
  </si>
  <si>
    <t>ADV AGRON</t>
  </si>
  <si>
    <t>Adv. Agron.</t>
  </si>
  <si>
    <t>10.1016/B978-0-12-394277-7.00006-3</t>
  </si>
  <si>
    <t>Agronomy</t>
  </si>
  <si>
    <t>Book Citation Index – Science (BKCI-S); Science Citation Index Expanded (SCI-EXPANDED)</t>
  </si>
  <si>
    <t>Agriculture</t>
  </si>
  <si>
    <t>BBH11</t>
  </si>
  <si>
    <t>2025-03-20</t>
  </si>
  <si>
    <t>WOS:000306817000006</t>
  </si>
  <si>
    <t>J</t>
  </si>
  <si>
    <t>Bancic, J; Greenspoon, P; Gaynor, RC; Gorjanc, G</t>
  </si>
  <si>
    <t>Bancic, Jon; Greenspoon, Philip; Gaynor, R. Chris; Gorjanc, Gregor</t>
  </si>
  <si>
    <t>Plant breeding simulations with AlphaSimR</t>
  </si>
  <si>
    <t>CROP SCIENCE</t>
  </si>
  <si>
    <t>Article</t>
  </si>
  <si>
    <t>EFFECTIVE GENOMIC SELECTION; QUANTITATIVE-ANALYSIS; GENOMEWIDE SELECTION; CROP; PROSPECTS; STRATEGY</t>
  </si>
  <si>
    <t>Plant breeding plays a crucial role in the development of high-performing crop varieties that meet the demands of society. Emerging breeding techniques offer the potential to improve the precision and efficiency of plant breeding programs; however, their optimal implementation requires refinement of existing breeding programs or the design of new ones. Stochastic simulations are a cost-effective solution for testing and optimizing new breeding strategies. The aim of this paper is to provide an introduction to stochastic simulation with software AlphaSimR for plant breeding students, researchers, and experienced breeders. We present an overview of how to use the software and provide an introductory AlphaSimR vignette as well as complete AlphaSimR scripts of breeding programs for self-pollinated, clonal, and hybrid crops, including relevant breeding techniques, such as backcrossing, speed breeding, genomic selection, index selection, and others. Our objective is to provide a foundation for understanding and utilizing simulation software, enabling readers to adapt the provided scripts for their own use or even develop completely new plant breeding programs. By incorporating simulation software into plant breeding education and practice, the next generation of plant breeders will have a valuable tool in their quest to provide sustainable and nutritious food sources for a growing population. This research highlights the value of stochastic simulation in plant breeding research and practice. The key steps of building a plant breeding simulation with AlphaSimR are described. AlphaSimR example scripts for different plant breeding programs and techniques are provided.</t>
  </si>
  <si>
    <t>[Bancic, Jon; Greenspoon, Philip; Gaynor, R. Chris; Gorjanc, Gregor] Univ Edinburgh, Roslin Inst &amp; Royal Dick, Sch Vet Studies, Edinburgh EH25 9RG, Midlothian, Scotland; [Gaynor, R. Chris] Bayer Crop Sci, Chesterfield, MO USA</t>
  </si>
  <si>
    <t>University of Edinburgh; UK Research &amp; Innovation (UKRI); Biotechnology and Biological Sciences Research Council (BBSRC); Roslin Institute; Bayer AG; Bayer CropScience</t>
  </si>
  <si>
    <t>Bancic, J (corresponding author), Univ Edinburgh, Roslin Inst &amp; Royal Dick, Sch Vet Studies, Edinburgh EH25 9RG, Midlothian, Scotland.</t>
  </si>
  <si>
    <t>jbancic@ed.ac.uk</t>
  </si>
  <si>
    <t>Gorjanc, Gregor/D-3684-2014</t>
  </si>
  <si>
    <t>Gorjanc, Gregor/0000-0001-8008-2787; Bancic, Jon/0000-0001-7077-7163</t>
  </si>
  <si>
    <t>Bayer Crop Science [BBS/E/D/30002275, BBS/E/RL/230001A, BBS/E/RL/230001C, BB/L020467/1, BB/R019940/1, BB/R002061/1]; BBSRC; Bayer Crop Science, BASF; South East Scotland City Region Deal, Marie Sklstrok;odowska-Curie Action; University of Edinburgh</t>
  </si>
  <si>
    <t>Bayer Crop Science(Bayer AG); BBSRC(UK Research &amp; Innovation (UKRI)Biotechnology and Biological Sciences Research Council (BBSRC)); Bayer Crop Science, BASF; South East Scotland City Region Deal, Marie Sklstrok;odowska-Curie Action; University of Edinburgh</t>
  </si>
  <si>
    <t>The authors acknowledge funding from BBSRC (grants BBS/E/D/30002275, BBS/E/RL/230001A, BBS/E/RL/230001C, BB/L020467/1, BB/R019940/1, and BB/R002061/1), Bayer Crop Science, BASF, Limagrain, Lantmannen, Data-Driven Innovation-Edinburgh and South East Scotland City Region Deal, Marie Sk &amp; lstrok;odowska-Curie Action, and The University of Edinburgh. For the purpose of open access, the authors have applied a CC BY public copyright license to any Author Accepted Manuscript version arising from this submission.</t>
  </si>
  <si>
    <t>WILEY</t>
  </si>
  <si>
    <t>HOBOKEN</t>
  </si>
  <si>
    <t>111 RIVER ST, HOBOKEN 07030-5774, NJ USA</t>
  </si>
  <si>
    <t>0011-183X</t>
  </si>
  <si>
    <t>1435-0653</t>
  </si>
  <si>
    <t>CROP SCI</t>
  </si>
  <si>
    <t>Crop Sci.</t>
  </si>
  <si>
    <t>JAN</t>
  </si>
  <si>
    <t>10.1002/csc2.21312</t>
  </si>
  <si>
    <t>AUG 2024</t>
  </si>
  <si>
    <t>Science Citation Index Expanded (SCI-EXPANDED)</t>
  </si>
  <si>
    <t>P3M2B</t>
  </si>
  <si>
    <t>hybrid, Green Submitted</t>
  </si>
  <si>
    <t>WOS:001293598000001</t>
  </si>
  <si>
    <t>B</t>
  </si>
  <si>
    <t>Wang, JW</t>
  </si>
  <si>
    <t>Abdurakhmonov, IY</t>
  </si>
  <si>
    <t>Wang, Jiankang</t>
  </si>
  <si>
    <t>Modelling and Simulation of Plant Breeding Strategies</t>
  </si>
  <si>
    <t>PLANT BREEDING</t>
  </si>
  <si>
    <t>Article; Book Chapter</t>
  </si>
  <si>
    <t>COMPUTER-SIMULATION; GENE INFORMATION; SELECTION; WHEAT; IMPROVEMENT; QUALITY; RICE; QTL</t>
  </si>
  <si>
    <t>[Wang, Jiankang] Chinese Acad Agr Sci, Inst Crop Sci, Beijing, Peoples R China; [Wang, Jiankang] Chinese Acad Agr Sci, CIMMYT China, Beijing, Peoples R China</t>
  </si>
  <si>
    <t>Chinese Academy of Agricultural Sciences; Institute of Crop Sciences, CAAS; Chinese Academy of Agricultural Sciences</t>
  </si>
  <si>
    <t>Wang, JK (corresponding author), Chinese Acad Agr Sci, Inst Crop Sci, Beijing, Peoples R China.</t>
  </si>
  <si>
    <t>INTECH EUROPE</t>
  </si>
  <si>
    <t>RIJEKA</t>
  </si>
  <si>
    <t>JANEZA TRDINE9, RIJEKA, 51000, CROATIA</t>
  </si>
  <si>
    <t>978-953-307-932-5</t>
  </si>
  <si>
    <t>Agronomy; Plant Sciences</t>
  </si>
  <si>
    <t>Book Citation Index – Science (BKCI-S)</t>
  </si>
  <si>
    <t>Agriculture; Plant Sciences</t>
  </si>
  <si>
    <t>BE5YI</t>
  </si>
  <si>
    <t>WOS:000373669700003</t>
  </si>
  <si>
    <t>Kleinknecht, K; Möhring, J; Laidig, F; Meyer, U; Piepho, HP</t>
  </si>
  <si>
    <t>Kleinknecht, K.; Moehring, J.; Laidig, F.; Meyer, U.; Piepho, H. P.</t>
  </si>
  <si>
    <t>A Simulation-Based Approach for Evaluating the Efficiency of Multienvironment Trial Designs</t>
  </si>
  <si>
    <t>PLANT-BREEDING TRIALS; MULTISTAGE SELECTION; GENETIC SIMULATION; GENOMIC SELECTION; SOFTWARE; YIELD; MODELS; ALLOCATION; VARIABILITY; POPULATIONS</t>
  </si>
  <si>
    <t>Plant breeding and official variety testing involve the challenge to design multienvironmental trials in several years and locations. Several variables influence the performance and, therefore, the possible selection gain of such trials. We provide a simulation-based approach using SAS to vary these variables and to allow a comparison of different scenarios for the design of series of trials regarding selection gain. Our approach builds on the FORTRAN software tool SELSYS. Three examples of its application are given.</t>
  </si>
  <si>
    <t>[Kleinknecht, K.; Moehring, J.; Piepho, H. P.] Univ Hohenheim, Inst Crop Sci, Biostat Unit, Fruwirthstr 23, D-70599 Stuttgart, Germany; [Laidig, F.; Meyer, U.] Bundessortenamt, Osterfelddamm 80, D-30627 Hannover, Germany</t>
  </si>
  <si>
    <t>University Hohenheim</t>
  </si>
  <si>
    <t>Möhring, J (corresponding author), Univ Hohenheim, Inst Crop Sci, Biostat Unit, Fruwirthstr 23, D-70599 Stuttgart, Germany.</t>
  </si>
  <si>
    <t>moehring@uni-hohenheim.de</t>
  </si>
  <si>
    <t>Piepho, Hans-Peter/0000-0001-7813-2992</t>
  </si>
  <si>
    <t>CROP SCIENCE SOC AMER</t>
  </si>
  <si>
    <t>MADISON</t>
  </si>
  <si>
    <t>677 S SEGOE ROAD, MADISON, WI 53711 USA</t>
  </si>
  <si>
    <t>SEP-OCT</t>
  </si>
  <si>
    <t>10.2135/cropsci2015.07.0405</t>
  </si>
  <si>
    <t>ED0BZ</t>
  </si>
  <si>
    <t>WOS:000388509300012</t>
  </si>
  <si>
    <t>Fu, YB</t>
  </si>
  <si>
    <t>Fu, Yong-Bi</t>
  </si>
  <si>
    <t>Understanding crop genetic diversity under modern plant breeding</t>
  </si>
  <si>
    <t>THEORETICAL AND APPLIED GENETICS</t>
  </si>
  <si>
    <t>Review</t>
  </si>
  <si>
    <t>RECIPROCAL RECURRENT SELECTION; LONG-TERM RESPONSE; ARTIFICIAL SELECTION; ALLELIC DIVERSITY; TEMPORAL-CHANGES; CULTIVARS; POPULATIONS; TRENDS; COEFFICIENT; MAINTENANCE</t>
  </si>
  <si>
    <t>Maximizing crop yield while at the same time minimizing crop failure for sustainable agriculture requires a better understanding of the impacts of plant breeding on crop genetic diversity. This review identifies knowledge gaps and shows the need for more research into genetic diversity changes under plant breeding. Modern plant breeding has made a profound impact on food production and will continue to play a vital role in world food security. For sustainable agriculture, a compromise should be sought between maximizing crop yield under changing climate and minimizing crop failure under unfavorable conditions. Such a compromise requires better understanding of the impacts of plant breeding on crop genetic diversity. Efforts have been made over the last three decades to assess crop genetic diversity using molecular marker technologies. However, these assessments have revealed some temporal diversity patterns that are largely inconsistent with our perception that modern plant breeding reduces crop genetic diversity. An attempt was made in this review to explain such discrepancies by examining empirical assessments of crop genetic diversity and theoretical investigations of genetic diversity changes over time under artificial selection. It was found that many crop genetic diversity assessments were not designed to assess diversity impacts from specific plant breeding programs, while others were experimentally inadequate and contained technical biases from the sampling of cultivars and genomes. Little attention has been paid to theoretical investigations on crop genetic diversity changes from plant breeding. A computer simulation of five simplified breeding schemes showed the substantial effects of plant breeding on the retention of heterozygosity over generations. It is clear that more efforts are needed to investigate crop genetic diversity in space and time under plant breeding to achieve sustainable crop production.</t>
  </si>
  <si>
    <t>Plant Gene Resources Canada, AAFC Saskatoon Res Ctr, Saskatoon, SK S7N 0X2, Canada</t>
  </si>
  <si>
    <t>Fu, YB (corresponding author), Plant Gene Resources Canada, AAFC Saskatoon Res Ctr, 107 Sci Pl, Saskatoon, SK S7N 0X2, Canada.</t>
  </si>
  <si>
    <t>yong-bi.fu@agr.gc.ca</t>
  </si>
  <si>
    <t>Fu, Yong-Bi/0000-0003-3106-1247</t>
  </si>
  <si>
    <t>A-Base Research Project of Agriculture and Agri-Food Canada</t>
  </si>
  <si>
    <t>A-Base Research Project of Agriculture and Agri-Food Canada(Agriculture &amp; Agri Food Canada)</t>
  </si>
  <si>
    <t>I would like to thank Bruce Coulman, Bill Biligetu, Santosh Kumar, and Paul Gepts for their helpful comments on the earlier version of this manuscript. The research is financially supported by an A-Base Research Project of Agriculture and Agri-Food Canada.</t>
  </si>
  <si>
    <t>SPRINGER</t>
  </si>
  <si>
    <t>NEW YORK</t>
  </si>
  <si>
    <t>ONE NEW YORK PLAZA, SUITE 4600, NEW YORK, NY, UNITED STATES</t>
  </si>
  <si>
    <t>0040-5752</t>
  </si>
  <si>
    <t>1432-2242</t>
  </si>
  <si>
    <t>THEOR APPL GENET</t>
  </si>
  <si>
    <t>Theor. Appl. Genet.</t>
  </si>
  <si>
    <t>NOV</t>
  </si>
  <si>
    <t>10.1007/s00122-015-2585-y</t>
  </si>
  <si>
    <t>Agriculture; Plant Sciences; Genetics &amp; Heredity</t>
  </si>
  <si>
    <t>CV3AF</t>
  </si>
  <si>
    <t>hybrid, Green Published</t>
  </si>
  <si>
    <t>WOS:000364129700001</t>
  </si>
  <si>
    <t>C</t>
  </si>
  <si>
    <t>Basford, KE</t>
  </si>
  <si>
    <t>Fernholz, LT; Morgenthaler, S; Stahel, W</t>
  </si>
  <si>
    <t>Statistical interaction with quantitative geneticists to enhance impact from plant breeding programs</t>
  </si>
  <si>
    <t>STATISTICS IN GENETICS AND IN THE ENVIRONMENTAL SCIENCES</t>
  </si>
  <si>
    <t>Trends in Mathematics</t>
  </si>
  <si>
    <t>Proceedings Paper</t>
  </si>
  <si>
    <t>Workshop on Statistics and the Sciences</t>
  </si>
  <si>
    <t>MAY 23-28, 1999</t>
  </si>
  <si>
    <t>ASCONA, SWITZERLAND</t>
  </si>
  <si>
    <t>Minerva Res Fdn,Swiss Fed Inst Technol Lausanne,Swiss Fed Inst Technol Zurich</t>
  </si>
  <si>
    <t>GxE interaction; selection; plant breeding; theory; experimentation; simulation</t>
  </si>
  <si>
    <t>PRINCIPAL COMPONENT ANALYSIS; ENVIRONMENT INTERACTIONS; DROUGHT TOLERANCE; PATTERN-ANALYSIS; TROPICAL MAIZE; GRAIN-YIELD; GENOTYPE; SELECTION; SIMULATION</t>
  </si>
  <si>
    <t>Plant breeding programs operate to achieve genetic improvement in a target population of environments. This process relies heavily on successfully selecting superior genotypes based on their performance in multi-environment trials that should be designed to represent the relevant target conditions. Genotype by environment (GxE) interactions can complicate these selection decisions, particularly when crossover interactions are a large component of the GxE interactions. This has been found to be the case for a range of crops and pastures in Australia. Long-term collaboration between statisticians and quantitative geneticists has resulted in a joint research program focussed on procedures to accommodate G x E interactions, As the objective is to develop decision support systems that assist the plant breeder to make selections, the integration of theory with practice is continually stressed. Some outcomes from this research program are described, thereby showing how such interaction enhances impact from plant breeding programs.</t>
  </si>
  <si>
    <t>Univ Queensland, Sch Land &amp; Food, Brisbane, Qld 4072, Australia</t>
  </si>
  <si>
    <t>University of Queensland</t>
  </si>
  <si>
    <t>Univ Queensland, Sch Land &amp; Food, Brisbane, Qld 4072, Australia.</t>
  </si>
  <si>
    <t>k.e.basford@uq.edu.au</t>
  </si>
  <si>
    <t>Basford, Kaye/T-9578-2019</t>
  </si>
  <si>
    <t>BIRKHAUSER VERLAG AG</t>
  </si>
  <si>
    <t>BASEL</t>
  </si>
  <si>
    <t>VIADUKSTRASSE 40-44, PO BOX 133, CH-4010 BASEL, SWITZERLAND</t>
  </si>
  <si>
    <t>2297-0215</t>
  </si>
  <si>
    <t>2297-024X</t>
  </si>
  <si>
    <t>3-7643-6575-7</t>
  </si>
  <si>
    <t>TRENDS MATH</t>
  </si>
  <si>
    <t>Conference Proceedings Citation Index - Science (CPCI-S)</t>
  </si>
  <si>
    <t>Mathematics</t>
  </si>
  <si>
    <t>BS51D</t>
  </si>
  <si>
    <t>WOS:000170185300001</t>
  </si>
  <si>
    <t>Byrum, J; Davis, C; Doonan, G; Doubler, T; Foster, D; Luzzi, B; Mowers, R; Zinselmeier, C; Kloeber, J; Culhane, D; Mack, S</t>
  </si>
  <si>
    <t>Byrum, Joseph; Davis, Craig; Doonan, Gregory; Doubler, Tracy; Foster, David; Luzzi, Bruce; Mowers, Ronald; Zinselmeier, Chris; Kloeber, Jack; Culhane, Dave; Mack, Stephen</t>
  </si>
  <si>
    <t>Advanced Analytics for Agricultural Product Development</t>
  </si>
  <si>
    <t>INTERFACES</t>
  </si>
  <si>
    <t>simulation; optimization; data quality; agriculture; breeding; soybean</t>
  </si>
  <si>
    <t>Syngenta, a leading developer of crop varieties (seeds) that provide food for human and livestock consumption, is committed to bringing greater food security to an increasingly populous world by creating a transformational shift in farm productivity. Syngenta Soybean Research and Development (R&amp;D) is leading Syngenta's corporate plant-breeding strategy by developing and implementing a new product development model that is enabling the creation of an efficient and effective soybean breeding strategy. Key to the new strategy is the combination of advanced analytics and plant-breeding knowledge to find opportunities to increase crop productivity and optimize plant-breeding processes. Syngenta uses discrete-event and Monte Carlo simulation models to codify Syngenta Soybean R&amp;D best practices, and uses stochastic optimization to create the best soybean breeding plans and strategically align its research efforts. As a result of using these new analytical tools, Syngenta estimates that it will save more than $287 million between 2012 and 2016.</t>
  </si>
  <si>
    <t>[Byrum, Joseph; Davis, Craig; Doonan, Gregory; Doubler, Tracy; Foster, David; Luzzi, Bruce; Mowers, Ronald; Zinselmeier, Chris] Syngenta, Slater, IA 50244 USA; [Kloeber, Jack; Culhane, Dave; Mack, Stephen] Kromite LLC, Lambertville, NJ 08530 USA</t>
  </si>
  <si>
    <t>Syngenta</t>
  </si>
  <si>
    <t>Byrum, J; Davis, C; Doonan, G; Doubler, T; Foster, D; Luzzi, B; Mowers, R; Zinselmeier, C (corresponding author), Syngenta, Slater, IA 50244 USA.;Kloeber, J; Culhane, D; Mack, S (corresponding author), Kromite LLC, Lambertville, NJ 08530 USA.</t>
  </si>
  <si>
    <t>joseph.byrum@syngenta.com; craig.davis@syngenta.com; gregory.doonan@syngenta.com; tracy.doubler@syngenta.com; david.foster@syngenta.com; bruce.luzzi@syngenta.com; ronald.mowers@syngenta.com; chris.zinselmeier@syngenta.com; jkloeber@kromite.com; dculhane@kromite.com; sbmack@kromite.com</t>
  </si>
  <si>
    <t>INFORMS</t>
  </si>
  <si>
    <t>CATONSVILLE</t>
  </si>
  <si>
    <t>5521 RESEARCH PARK DR, SUITE 200, CATONSVILLE, MD 21228 USA</t>
  </si>
  <si>
    <t>0092-2102</t>
  </si>
  <si>
    <t>1526-551X</t>
  </si>
  <si>
    <t>Interfaces</t>
  </si>
  <si>
    <t>JAN-FEB</t>
  </si>
  <si>
    <t>SI</t>
  </si>
  <si>
    <t>10.1287/inte.2015.0823</t>
  </si>
  <si>
    <t>Science Citation Index Expanded (SCI-EXPANDED); Social Science Citation Index (SSCI)</t>
  </si>
  <si>
    <t>Business &amp; Economics; Operations Research &amp; Management Science</t>
  </si>
  <si>
    <t>DH9QN</t>
  </si>
  <si>
    <t>WOS:000373130900002</t>
  </si>
  <si>
    <t>Vanavermaete, D; Maenhout, S; Fostier, J; De Baets, B</t>
  </si>
  <si>
    <t>Vanavermaete, David; Maenhout, Steven; Fostier, Jan; De Baets, Bernard</t>
  </si>
  <si>
    <t>Oracle selection provides insight into how far off practice is from Utopia in plant breeding</t>
  </si>
  <si>
    <t>FRONTIERS IN PLANT SCIENCE</t>
  </si>
  <si>
    <t>genetic gain; genetic selection; genetic variation; genetic value; oracle; scoping; plant breeding; simulation study</t>
  </si>
  <si>
    <t>GENOMIC SELECTION; RELIABILITY; PREDICTION</t>
  </si>
  <si>
    <t>Since the introduction of genomic selection in plant breeding, high genetic gains have been realized in different plant breeding programs. Various methods based on genomic estimated breeding values (GEBVs) for selecting parental lines that maximize the genetic gain as well as methods for improving the predictive performance of genomic selection have been proposed. Unfortunately, it remains difficult to measure to what extent these methods really maximize long-term genetic values. In this study, we propose oracle selection, a hypothetical frame of mind that uses the ground truth to optimally select parents or optimize the training population in order to maximize the genetic gain in each breeding cycle. Clearly, oracle selection cannot be applied in a true breeding program, but allows for the assessment of existing parental selection and training population update methods and the evaluation of how far these methods are from the optimal utopian solution.</t>
  </si>
  <si>
    <t>[Vanavermaete, David; De Baets, Bernard] Univ Ghent, Dept Data Anal &amp; Math Modelling, KERMIT, Ghent, Belgium; [Maenhout, Steven] Univ Ghent, Dept Plants &amp; Crops, Predict Breeding, Ghent, Belgium; [Fostier, Jan] Univ Ghent, Dept Informat Technol, IDLab, Imec, Ghent, Belgium</t>
  </si>
  <si>
    <t>Ghent University; Ghent University; Ghent University; Interuniversity Microelectronics Centre</t>
  </si>
  <si>
    <t>Vanavermaete, D (corresponding author), Univ Ghent, Dept Data Anal &amp; Math Modelling, KERMIT, Ghent, Belgium.</t>
  </si>
  <si>
    <t>David.Vanavermaete@gmail.com</t>
  </si>
  <si>
    <t>Vanavermaete, David/AGC-9563-2022; De Baets, Bernard/E-8877-2010; Fostier, Jan/A-8275-2012</t>
  </si>
  <si>
    <t>FRONTIERS MEDIA SA</t>
  </si>
  <si>
    <t>LAUSANNE</t>
  </si>
  <si>
    <t>AVENUE DU TRIBUNAL FEDERAL 34, LAUSANNE, CH-1015, SWITZERLAND</t>
  </si>
  <si>
    <t>1664-462X</t>
  </si>
  <si>
    <t>FRONT PLANT SCI</t>
  </si>
  <si>
    <t>Front. Plant Sci.</t>
  </si>
  <si>
    <t>JUL 21</t>
  </si>
  <si>
    <t>10.3389/fpls.2023.1218665</t>
  </si>
  <si>
    <t>Plant Sciences</t>
  </si>
  <si>
    <t>O2MW5</t>
  </si>
  <si>
    <t>Green Published, gold</t>
  </si>
  <si>
    <t>WOS:001042222600001</t>
  </si>
  <si>
    <t>DOURLEIJN, CJ</t>
  </si>
  <si>
    <t>SUBSET-SELECTION IN PLANT-BREEDING PRACTICE</t>
  </si>
  <si>
    <t>EUPHYTICA</t>
  </si>
  <si>
    <t>SELECTION; STATISTICAL SELECTION; SUBSET SELECTION; VARIETY TESTING</t>
  </si>
  <si>
    <t>Selection decisions in variety testing should partly be based on statistical motives. Useful tools for this are subset selection procedures. These procedures can also be used when the performed experiment has an incomplete block design or when a series of regional trials is studied. Various selection rules serve different selection goals, but they all need so-called selection constants. Often, these constants have to be approximated by computer simulation. For this simulation, and also for the execution of the selection rules, software has been developed and is available. Some practical adjustments and modifications of subset selection in plant breeding practice are proposed. Finally, a case study of selection in sugar beet is presented.</t>
  </si>
  <si>
    <t>DOURLEIJN, CJ (corresponding author), AGR UNIV WAGENINGEN,DEPT MATH,DREIJENLAAN 4,6703 HA WAGENINGEN,NETHERLANDS.</t>
  </si>
  <si>
    <t>KLUWER ACADEMIC PUBL</t>
  </si>
  <si>
    <t>DORDRECHT</t>
  </si>
  <si>
    <t>SPUIBOULEVARD 50, PO BOX 17, 3300 AA DORDRECHT, NETHERLANDS</t>
  </si>
  <si>
    <t>0014-2336</t>
  </si>
  <si>
    <t>Euphytica</t>
  </si>
  <si>
    <t>10.1007/BF00025435</t>
  </si>
  <si>
    <t>QP381</t>
  </si>
  <si>
    <t>WOS:A1995QP38100014</t>
  </si>
  <si>
    <t>Fu, YB; Yang, MH; Zeng, FQ; Biligetu, B</t>
  </si>
  <si>
    <t>Fu, Yong-Bi; Yang, Mo-Hua; Zeng, Fangqin; Biligetu, Bill</t>
  </si>
  <si>
    <t>Searching for an Accurate Marker-Based Prediction of an Individual Quantitative Trait in Molecular Plant Breeding</t>
  </si>
  <si>
    <t>quantitative trait; RNA-Seq; functional marker; breeding; marker; assisted selection; genomic selection; trait-specific marker selection</t>
  </si>
  <si>
    <t>BULKED SEGREGANT ANALYSIS; CYTOPLASMIC MALE-STERILITY; GENOME-WIDE PREDICTION; RNA-SEQ; ASSISTED SELECTION; FUNCTIONAL MARKERS; GENE-EXPRESSION; LINKAGE MAP; TRANSCRIPTOME; IDENTIFICATION</t>
  </si>
  <si>
    <t>Molecular plant breeding with the aid of molecular markers has played an important role in modern plant breeding over the last two decades. Many marker-based predictions for quantitative traits have been made to enhance parental selection, but the trait prediction accuracy remains generally low, even with the aid of dense, genome-wide SNP markers. To search for more accurate trait-specific prediction with informative SNP markers, we conducted a literature review on the prediction issues in molecular plant breeding and on the applicability of an RNA-Seq technique for developing functionassociated specific trait (FAST) SNP markers. To understand whether and how FAST SNP markers could enhance trait prediction, we also performed a theoretical reasoning on the effectiveness of these markers in a trait-specific prediction, and verified the reasoning through computer simulation. To the end, the search yielded an alternative to regular genomic selection with FAST SNP markers that could be explored to achieve more accurate trait-specific prediction. Continuous search for better alternatives is encouraged to enhance marker-based predictions for an individual quantitative trait in molecular plant breeding.</t>
  </si>
  <si>
    <t>[Fu, Yong-Bi; Yang, Mo-Hua; Zeng, Fangqin] Agr &amp; Agri Food Canada, Plant Gene Resources Canada, Saskatoon Res &amp; Dev Ctr, Saskatoon, SK, Canada; [Yang, Mo-Hua] Cent South Univ Forestry &amp; Technol, Coll Forestry, Changsha, Hunan, Peoples R China; [Biligetu, Bill] Univ Saskatchewan, Dept Plant Sci, Saskatoon, SK, Canada</t>
  </si>
  <si>
    <t>Agriculture &amp; Agri Food Canada; Central South University of Forestry &amp; Technology; University of Saskatchewan</t>
  </si>
  <si>
    <t>Fu, YB (corresponding author), Agr &amp; Agri Food Canada, Plant Gene Resources Canada, Saskatoon Res &amp; Dev Ctr, Saskatoon, SK, Canada.</t>
  </si>
  <si>
    <t>Yang, Mo-Hua/N-9055-2015</t>
  </si>
  <si>
    <t>A-Base research project of Agriculture and Agri-Food Canada; National Science and Technology Program of China [2012BAD21B03]; National Natural Science Foundation of China [31670678]; China Scholarship Council Postdoctoral Abroad</t>
  </si>
  <si>
    <t>A-Base research project of Agriculture and Agri-Food Canada(Agriculture &amp; Agri Food Canada); National Science and Technology Program of China; National Natural Science Foundation of China(National Natural Science Foundation of China (NSFC)); China Scholarship Council Postdoctoral Abroad(China Scholarship Council)</t>
  </si>
  <si>
    <t>This work was supported by an A-Base research project of Agriculture and Agri-Food Canada to Y-BF and National Science and Technology Program of China (2012BAD21B03), the National Natural Science Foundation of China (31670678) and the China Scholarship Council Postdoctoral Abroad Grant to M-HY.</t>
  </si>
  <si>
    <t>JUL 6</t>
  </si>
  <si>
    <t>10.3389/fpls.2017.01182</t>
  </si>
  <si>
    <t>EZ7QD</t>
  </si>
  <si>
    <t>WOS:000404919700001</t>
  </si>
  <si>
    <t>Heinemann, AB</t>
  </si>
  <si>
    <t>Heinemann, Alexandre Bryan</t>
  </si>
  <si>
    <t>Characterization of water stress patterns for rice (short and medium cycle) in Goias State and their consequences for the plant breeding program</t>
  </si>
  <si>
    <t>CIENCIA E AGROTECNOLOGIA</t>
  </si>
  <si>
    <t>Portuguese</t>
  </si>
  <si>
    <t>Crop model; Oryza sativa; savannah; upland rice</t>
  </si>
  <si>
    <t>AFFECTING GRAIN-SORGHUM; ENVIRONMENT; SELECTION; GENOTYPES; DROUGHT</t>
  </si>
  <si>
    <t>Drought stress is a major constraint to crop production and yield stability in many regions of the world. In the state of Goias, most of the rice crop system is rainfed. In a plant breeding program, new genotypes are selected as a result of their adaptability for a determined environment. Therefore, a plant breeding program needs information about drought frequency as well as its characteristics, intensity, and time during crop development. A crop simulation model was used to determine patterns of drought stress for 12 locations and six different planting dates for short and medium cycle rice. For upland rice, short and medium cycle, in favourable conditions (no soil impediment), drought stress is not a main constraint for the rice development in the state of Goias.</t>
  </si>
  <si>
    <t>Embrapa Arroz &amp; Feijao Rod, BR-75375000 Santo Antonio De Goias, Go, Brazil</t>
  </si>
  <si>
    <t>Empresa Brasileira de Pesquisa Agropecuaria (EMBRAPA)</t>
  </si>
  <si>
    <t>Heinemann, AB (corresponding author), Embrapa Arroz &amp; Feijao Rod, GO 462,Km 12, BR-75375000 Santo Antonio De Goias, Go, Brazil.</t>
  </si>
  <si>
    <t>alexbh@cnpaf.embrapa.br</t>
  </si>
  <si>
    <t>Heinemann, Alexandre/ABH-4914-2020</t>
  </si>
  <si>
    <t>Heinemann, Alexandre/0000-0002-7037-488X</t>
  </si>
  <si>
    <t>UNIV FEDERAL LAVRAS-UFLA</t>
  </si>
  <si>
    <t>LAVRAS</t>
  </si>
  <si>
    <t>CAIXA POSTAL 3037, LAVRAS, MG 37200-000, BRAZIL</t>
  </si>
  <si>
    <t>1413-7054</t>
  </si>
  <si>
    <t>1981-1829</t>
  </si>
  <si>
    <t>CIENC AGROTEC</t>
  </si>
  <si>
    <t>Cienc. Agrotec.</t>
  </si>
  <si>
    <t>10.1590/S1413-70542010000100003</t>
  </si>
  <si>
    <t>575RF</t>
  </si>
  <si>
    <t>WOS:000276084600003</t>
  </si>
  <si>
    <t>Yamamoto, E; Matsunaga, H; Onogi, A; Kajiya-Kanegae, H; Minamikawa, M; Suzuki, A; Shirasawa, K; Hirakawa, H; Nunome, T; Yamaguchi, H; Miyatake, K; Ohyama, A; Iwata, H; Fukuoka, H</t>
  </si>
  <si>
    <t>Yamamoto, Eiji; Matsunaga, Hiroshi; Onogi, Akio; Kajiya-Kanegae, Hiromi; Minamikawa, Mai; Suzuki, Akinori; Shirasawa, Kenta; Hirakawa, Hideki; Nunome, Tsukasa; Yamaguchi, Hirotaka; Miyatake, Koji; Ohyama, Akio; Iwata, Hiroyoshi; Fukuoka, Hiroyuki</t>
  </si>
  <si>
    <t>A simulation-based breeding design that uses whole-genome prediction in tomato</t>
  </si>
  <si>
    <t>SCIENTIFIC REPORTS</t>
  </si>
  <si>
    <t>QUANTITATIVE TRAIT; POLYMORPHISM MARKERS; CULTIVATED TOMATO; WIDE ASSOCIATION; SELECTION; YIELD; POPULATION; INFORMATION; IMPROVEMENT; REGRESSION</t>
  </si>
  <si>
    <t>Efficient plant breeding methods must be developed in order to increase yields and feed a growing world population, as well as to meet the demands of consumers with diverse preferences who require high-quality foods. We propose a strategy that integrates breeding simulations and phenotype prediction models using genomic information. The validity of this strategy was evaluated by the simultaneous genetic improvement of the yield and flavour of the tomato (Solanum lycopersicum), as an example. Reliable phenotype prediction models for the simulation were constructed from actual genotype and phenotype data. Our simulation predicted that selection for both yield and flavour would eventually result in morphological changes that would increase the total plant biomass and decrease the light extinction coefficient, an essential requirement for these improvements. This simulation-based genome-assisted approach to breeding will help to optimise plant breeding, not only in the tomato but also in other important agricultural crops.</t>
  </si>
  <si>
    <t>[Yamamoto, Eiji; Matsunaga, Hiroshi; Nunome, Tsukasa; Yamaguchi, Hirotaka; Miyatake, Koji; Fukuoka, Hiroyuki] NIVTS, Tsu, Mie 5142392, Japan; [Onogi, Akio; Kajiya-Kanegae, Hiromi; Minamikawa, Mai; Suzuki, Akinori; Iwata, Hiroyoshi] Univ Tokyo, Grad Sch Agr &amp; Life Sci, Dept Agr &amp; Environm Biol, Bunkyo Ku, Tokyo 1138657, Japan; [Shirasawa, Kenta; Hirakawa, Hideki] Kazusa DNA Res Inst, Chiba 2920818, Japan; [Ohyama, Akio] NIVTS, Tsukuba, Ibaraki 3058666, Japan</t>
  </si>
  <si>
    <t>National Agriculture &amp; Food Research Organization - Japan; University of Tokyo; Kazusa DNA Research Institute</t>
  </si>
  <si>
    <t>Yamamoto, E (corresponding author), NIVTS, 360 Kusawa, Tsu, Mie 5142392, Japan.</t>
  </si>
  <si>
    <t>yame@affrc.go.jp</t>
  </si>
  <si>
    <t>Kanegae, Hiromi/AFS-0023-2022; Shirasawa, Kenta/L-9141-2019</t>
  </si>
  <si>
    <t>Yamamoto, Eiji/0000-0002-3095-6455; Iwata, Hiroyoshi/0000-0002-6747-7036; Shirasawa, Kenta/0000-0001-7880-6221; Kajiya-Kanegae, Hiromi/0000-0002-5719-7559</t>
  </si>
  <si>
    <t>Ministry of Agriculture, Forestry and Fisheries of Japan [NGB-1004]</t>
  </si>
  <si>
    <t>Ministry of Agriculture, Forestry and Fisheries of Japan(Ministry of Agriculture Forestry &amp; Fisheries - Japan)</t>
  </si>
  <si>
    <t>This work was supported by a grant from the Ministry of Agriculture, Forestry and Fisheries of Japan (Genomics-based Technology for Agricultural Improvement, NGB-1004, 2005 and 2010).</t>
  </si>
  <si>
    <t>NATURE PORTFOLIO</t>
  </si>
  <si>
    <t>BERLIN</t>
  </si>
  <si>
    <t>HEIDELBERGER PLATZ 3, BERLIN, 14197, GERMANY</t>
  </si>
  <si>
    <t>2045-2322</t>
  </si>
  <si>
    <t>SCI REP-UK</t>
  </si>
  <si>
    <t>Sci Rep</t>
  </si>
  <si>
    <t>JAN 20</t>
  </si>
  <si>
    <t>10.1038/srep19454</t>
  </si>
  <si>
    <t>Multidisciplinary Sciences</t>
  </si>
  <si>
    <t>Science &amp; Technology - Other Topics</t>
  </si>
  <si>
    <t>DB2PT</t>
  </si>
  <si>
    <t>WOS:000368352200001</t>
  </si>
  <si>
    <t>Spilke, J; Richter, C; Piepho, HP</t>
  </si>
  <si>
    <t>Spilke, J.; Richter, C.; Piepho, H. P.</t>
  </si>
  <si>
    <t>Model selection and its consequences for different split-plot designs with spatial covariance and trend</t>
  </si>
  <si>
    <t>split-plot design; spatial covariance; spatial trend; model selection; Satterthwaite method; Kenward-Roger method; type I error rate; power; mean squared error</t>
  </si>
  <si>
    <t>RESTRICTED MAXIMUM-LIKELIHOOD; LINEAR VARIANCE MODELS; PLANT-BREEDING TRIALS; MIXED MODELS; PERFORMANCE; HYPOTHESES; SIMULATION; PRECISION; FREEDOM; TESTS</t>
  </si>
  <si>
    <t>P&gt;Split-plot designs play an important role in agricultural field trials, particularly in plant breeding. Analysis of split-plot experiments may be performed by classical randomization-based anova-type models. In addition, spatial covariance can be modelled to improve precision. This study investigates the properties of alternative variance-covariance structures (random blocks, spatial covariance) using Monte-Carlo simulation for design scenarios commonly found in plant breeding and variety testing. We investigate the efficiency of model selection by information criteria (AICC, BIC). Our results indicate that efficient model selection can be expected when there are marked differences among models with respect to the empirical error rates (type I error and power) as well as the precision of effect estimates (MSE). A comparison of approximations to the denominator degrees of freedom shows that for spatial models use of the Kenward-Roger method gives reasonable control of the nominal type I error rate.</t>
  </si>
  <si>
    <t>[Spilke, J.] Univ Halle Wittenberg, Inst Agrar &amp; Ernahrungswissensch, D-06099 Halle, Saale, Germany; [Richter, C.] Humboldt Univ, Dept Nutzpflanzen &amp; Tierwissensch, D-10099 Berlin, Germany; [Piepho, H. P.] Univ Hohenheim, Inst Pflanzenbau &amp; Grunland, D-70593 Stuttgart, Germany</t>
  </si>
  <si>
    <t>Martin Luther University Halle Wittenberg; Humboldt University of Berlin; University Hohenheim</t>
  </si>
  <si>
    <t>Spilke, J (corresponding author), Univ Halle Wittenberg, Inst Agrar &amp; Ernahrungswissensch, D-06099 Halle, Saale, Germany.</t>
  </si>
  <si>
    <t>joachim.spilke@landw.uni-halle.de</t>
  </si>
  <si>
    <t>Deutsche Forschungsgemeinschaft DFG [SP 613/10-1]; GABI-GAIN project [FKZ 0315072 C]</t>
  </si>
  <si>
    <t>Deutsche Forschungsgemeinschaft DFG(German Research Foundation (DFG)); GABI-GAIN project</t>
  </si>
  <si>
    <t>The first author was supported by the Deutsche Forschungsgemeinschaft DFG (grant no. SP 613/10-1).The last author was supported within the GABI-GAIN project (grant no. FKZ 0315072 C). We would like to thank the referees for valuable comments, which led to a considerable number of improvements. We thank Dr J. O. Ogutu for helpful editorial suggestions.</t>
  </si>
  <si>
    <t>WILEY-BLACKWELL PUBLISHING, INC</t>
  </si>
  <si>
    <t>MALDEN</t>
  </si>
  <si>
    <t>COMMERCE PLACE, 350 MAIN ST, MALDEN 02148, MA USA</t>
  </si>
  <si>
    <t>0179-9541</t>
  </si>
  <si>
    <t>Plant Breed.</t>
  </si>
  <si>
    <t>DEC</t>
  </si>
  <si>
    <t>10.1111/j.1439-0523.2010.01795.x</t>
  </si>
  <si>
    <t>Agriculture; Biotechnology &amp; Applied Microbiology; Plant Sciences</t>
  </si>
  <si>
    <t>684YD</t>
  </si>
  <si>
    <t>WOS:000284590300002</t>
  </si>
  <si>
    <t>Piepho, HP; Möhring, J</t>
  </si>
  <si>
    <t>Piepho, Hans-Peter; Moehring, Jens</t>
  </si>
  <si>
    <t>Computing heritability and selection response from unbalanced plant breeding trials</t>
  </si>
  <si>
    <t>GENETICS</t>
  </si>
  <si>
    <t>PREDICTION</t>
  </si>
  <si>
    <t>Heritability is often used by plant breeders and geneticists as a measure of precision of a trial or a series of trials. Its main use is for computing the response to selection. Most formulas proposed for calculating heritability implicitly assume balanced data and independent genotypic effects. Both of these assumptions are often violated in plant breeding trials. This article proposes a simulation-based approach to tackle the problem. The key idea is to directly simulate the quantity of interest, e.g., response to selection, rather than trying to approximate it using some ad hoc measure of heritability. The approach is illustrated by three examples.</t>
  </si>
  <si>
    <t>Univ Hohenheim, Inst Pflanzen &amp; Grunland, Fachgebiet Bioinformat, D-70599 Stuttgart, Germany</t>
  </si>
  <si>
    <t>Piepho, HP (corresponding author), Univ Hohenheim, Inst Pflanzen &amp; Grunland, Fachgebiet Bioinformat, Fruwirthstr 23, D-70599 Stuttgart, Germany.</t>
  </si>
  <si>
    <t>piepho@uni-hohenheim.de</t>
  </si>
  <si>
    <t>GENETICS SOCIETY AMERICA</t>
  </si>
  <si>
    <t>BETHESDA</t>
  </si>
  <si>
    <t>9650 ROCKVILLE AVE, BETHESDA, MD 20814 USA</t>
  </si>
  <si>
    <t>0016-6731</t>
  </si>
  <si>
    <t>1943-2631</t>
  </si>
  <si>
    <t>Genetics</t>
  </si>
  <si>
    <t>10.1534/genetics.107.074229</t>
  </si>
  <si>
    <t>Genetics &amp; Heredity</t>
  </si>
  <si>
    <t>237JA</t>
  </si>
  <si>
    <t>Green Published</t>
  </si>
  <si>
    <t>WOS:000251368800050</t>
  </si>
  <si>
    <t>Sun, X; Peng, T; Mumm, RH</t>
  </si>
  <si>
    <t>Sun, X.; Peng, T.; Mumm, R. H.</t>
  </si>
  <si>
    <t>The role and basics of computer simulation in support of critical decisions in plant breeding</t>
  </si>
  <si>
    <t>MOLECULAR BREEDING</t>
  </si>
  <si>
    <t>Computer simulation; Genome model; Model building; Choice of parents; Breeding strategy; Breeding method</t>
  </si>
  <si>
    <t>MARKER-ASSISTED SELECTION; QUANTITATIVE TRAIT LOCI; LINKAGE DISEQUILIBRIUM; GENOMEWIDE SELECTION; GENETIC ARCHITECTURE; IMPROVING PARENTS; IDENTIFYING POPULATIONS; MOLECULAR MARKERS; MAIZE; HYBRID</t>
  </si>
  <si>
    <t>A number of crucial decisions face the plant breeder before any field activities directed to crop genetic improvement are actually initiated, primarily related to choice of parents and breeding strategy options. Because of the impact, the complexity of these decisions, and the cost of implementing multiple options, computer simulation can be an important resource for the modern breeder. To maximize utility, the simulation tool must be based on effective models of the genome, the breeding process, and other 'processes' involved in genetic recombination, identification, and production of new cultivars. Additionally, the statistical methodology employed has ramifications for predicting performance and breeding outcome. The objective of this work is to highlight the role of computer simulation in the planning phases of crop genetic improvement, the basics of model building, statistical considerations, and key issues to be addressed. Examples of publicly available simulation software for plant breeding scenarios are described (features, functionalities, and assumptions) and new directions for improved/expanded approaches and tools are discussed.</t>
  </si>
  <si>
    <t>[Sun, X.; Peng, T.; Mumm, R. H.] Univ Illinois, Dept Crop Sci, Illinois Plant Breeding Ctr, Urbana, IL 61801 USA</t>
  </si>
  <si>
    <t>University of Illinois System; University of Illinois Urbana-Champaign</t>
  </si>
  <si>
    <t>Mumm, RH (corresponding author), Univ Illinois, Dept Crop Sci, Illinois Plant Breeding Ctr, 1102 S Goodwin Ave, Urbana, IL 61801 USA.</t>
  </si>
  <si>
    <t>ritamumm@illinois.edu</t>
  </si>
  <si>
    <t>Sun, Xiaochun/J-8596-2014</t>
  </si>
  <si>
    <t>Monsanto Company, St. Louis, MO, USA</t>
  </si>
  <si>
    <t>This research was supported in part by a grant from Monsanto Company, St. Louis, MO, USA; X. Sun and T. Peng were also supported in their graduate studies as Monsanto Fellows in Plant Breeding through a gift of Monsanto Company to the University of Illinois. Many thanks to Drs. Andres Gordillo, Hans Peter Maurer, Nick Lauter, Nick Tinker, Jiankang Wang, and Edie Paul for valued input on their respective software programs. We also extend our appreciation to Drs. Jason Bull, Andrew Davis, G. R. Johnson, and John W. Dudley for their helpful review and valuable commentary on the manuscript. In addition, we wish to thank two anonymous reviewers whose comments helped to improve the manuscript.</t>
  </si>
  <si>
    <t>VAN GODEWIJCKSTRAAT 30, 3311 GZ DORDRECHT, NETHERLANDS</t>
  </si>
  <si>
    <t>1380-3743</t>
  </si>
  <si>
    <t>1572-9788</t>
  </si>
  <si>
    <t>MOL BREEDING</t>
  </si>
  <si>
    <t>Mol. Breed.</t>
  </si>
  <si>
    <t>10.1007/s11032-011-9630-6</t>
  </si>
  <si>
    <t>850DC</t>
  </si>
  <si>
    <t>WOS:000297173800001</t>
  </si>
  <si>
    <t>Bernardo, R</t>
  </si>
  <si>
    <t>Bernardo, Rex</t>
  </si>
  <si>
    <t>Reinventing quantitative genetics for plant breeding: something old, something new, something borrowed, something BLUE</t>
  </si>
  <si>
    <t>HEREDITY</t>
  </si>
  <si>
    <t>MAXIMUM-LIKELIHOOD; MAIZE; PREDICTION; SELECTION; MODEL; HERITABILITY; INFORMATION; YIELD; QTL</t>
  </si>
  <si>
    <t>The goals of quantitative genetics differ according to its field of application. In plant breeding, the main focus of quantitative genetics is on identifying candidates with the best genotypic value for a target population of environments. Keeping quantitative genetics current requires keeping old concepts that remain useful, letting go of what has become archaic, and introducing new concepts and methods that support contemporary breeding. The core concept of continuous variation being due to multiple Mendelian loci remains unchanged. Because the entirety of germplasm available in a breeding program is not in Hardy-Weinberg equilibrium, classical concepts that assume random mating, such as the average effect of an allele and additive variance, need to be retired in plant breeding. Doing so is feasible because with molecular markers, mixed-model approaches that require minimal genetic assumptions can be used for best linear unbiased estimation (BLUE) and prediction. Plant breeding would benefit from borrowing approaches found useful in other disciplines. Examples include reliability as a new measure of the influence of genetic versus nongenetic effects, and operations research and simulation approaches for designing breeding programs. The genetic entities in such simulations should not be generic but should be represented by the pedigrees, marker data, and phenotypic data for the actual germplasm in a breeding program. Over the years, quantitative genetics in plant breeding has become increasingly empirical and computational and less grounded in theory. This trend will continue as the amount and types of data available in a breeding program increase.</t>
  </si>
  <si>
    <t>[Bernardo, Rex] Univ Minnesota, Dept Agron &amp; Plant Genet, 411 Borlaug Hall,1991 Buford Circle, St Paul, MN 55108 USA</t>
  </si>
  <si>
    <t>University of Minnesota System; University of Minnesota Twin Cities</t>
  </si>
  <si>
    <t>Bernardo, R (corresponding author), Univ Minnesota, Dept Agron &amp; Plant Genet, 411 Borlaug Hall,1991 Buford Circle, St Paul, MN 55108 USA.</t>
  </si>
  <si>
    <t>bernardo@umn.edu</t>
  </si>
  <si>
    <t>SPRINGERNATURE</t>
  </si>
  <si>
    <t>LONDON</t>
  </si>
  <si>
    <t>CAMPUS, 4 CRINAN ST, LONDON, N1 9XW, ENGLAND</t>
  </si>
  <si>
    <t>0018-067X</t>
  </si>
  <si>
    <t>1365-2540</t>
  </si>
  <si>
    <t>Heredity</t>
  </si>
  <si>
    <t>10.1038/s41437-020-0312-1</t>
  </si>
  <si>
    <t>APR 2020</t>
  </si>
  <si>
    <t>Environmental Sciences &amp; Ecology; Evolutionary Biology; Genetics &amp; Heredity</t>
  </si>
  <si>
    <t>OP5AN</t>
  </si>
  <si>
    <t>Green Published, hybrid</t>
  </si>
  <si>
    <t>WOS:000526263600001</t>
  </si>
  <si>
    <t>Liu, HM; Tessema, BB; Jensen, J; Cericola, F; Andersen, JR; Sorensen, AC</t>
  </si>
  <si>
    <t>Liu, Huiming; Tessema, Biructawit Bekele; Jensen, Just; Cericola, Fabio; Andersen, Jeppe Reitan; Sorensen, Anders Christian</t>
  </si>
  <si>
    <t>ADAM-Plant: A Software for Stochastic Simulations of Plant Breeding From Molecular to Phenotypic Level and From Simple Selection to Complex Speed Breeding Programs</t>
  </si>
  <si>
    <t>stochastic simulation; genomic selection; plant breeding; breeding program; wheat</t>
  </si>
  <si>
    <t>MARKER-ASSISTED SELECTION; GENOMIC SELECTION; PREDICTION; STRATEGIES; SCHEMES</t>
  </si>
  <si>
    <t>Making decisions on plant breeding programs require plant breeders to be able to test different breeding strategies by taking into account all the crucial factors affecting crop genetic improvement. Due to the complexity of the decisions, computer simulation serves as an important tool for researchers and plant breeders. This paper describes ADAM-plant, which is a computer software that models breeding schemes for self-pollinated and cross-pollinated crop plants using stochastic simulation. The program simulates a population of plants and traces the genetic changes in the population under different breeding scenarios. It takes into account different population structures, genomic models, selection (strategies and units) and crossing strategies. It also covers important features e.g., allowing users to perform genomic selection (GS) and speed breeding, simulate genotype-by-environment interactions using multiple trait approach, simulate parallel breeding cycles and consider plot sizes. In addition, the software can be used to simulate datasets produced from very complex breeding program in order to test new statistical methodology to analyze such data. As an example, three wheat-breeding strategies were simulated in the current study: (1) phenotypic selection, (2) GS, and (3) speed breeding with genomic information. The results indicate that the genetic gain can be doubled by GS compared to phenotypic selection and genetic gain can be further increased considerably by speed breeding. In conclusion, ADAM-plant is an important tool for comparing strategies for plant breeding and for estimating the effects of allocation of different resources to the breeding program. In the current study, it was used to compare different methodologies for utilizing genomic information in cereal breeding programs for selection of best-fit breeding strategy as per available resources.</t>
  </si>
  <si>
    <t>[Liu, Huiming; Tessema, Biructawit Bekele; Jensen, Just; Sorensen, Anders Christian] Aarhus Univ, Dept Mol Biol &amp; Genet, Ctr Quantitat Genet &amp; Genom, Aarhus, Denmark; [Cericola, Fabio] Rijk Zwaan, De Lier, Netherlands; [Andersen, Jeppe Reitan] Nord Seed, Odder, Denmark</t>
  </si>
  <si>
    <t>Aarhus University</t>
  </si>
  <si>
    <t>Liu, HM (corresponding author), Aarhus Univ, Dept Mol Biol &amp; Genet, Ctr Quantitat Genet &amp; Genom, Aarhus, Denmark.;Andersen, JR (corresponding author), Nord Seed, Odder, Denmark.</t>
  </si>
  <si>
    <t>Huiming.Liu@mbg.au.dk; jran@nordicseed.com</t>
  </si>
  <si>
    <t>Andersen, Jeppe Reitan/0000-0003-4666-3400</t>
  </si>
  <si>
    <t>Danish Council for Strategic Research, Center for Genomic Selection in Animals and Plants (GenSAP) [12-132452]; Green Development Program (GUDP) [34009-13-0607, 34009-15-0951]</t>
  </si>
  <si>
    <t>Danish Council for Strategic Research, Center for Genomic Selection in Animals and Plants (GenSAP); Green Development Program (GUDP)</t>
  </si>
  <si>
    <t>This project was funded by The Danish Council for Strategic Research, Center for Genomic Selection in Animals and Plants (GenSAP), grant no. 12-132452 and Green Development Program (GUDP) grant nos. 34009-13-0607 and 34009-15-0951.</t>
  </si>
  <si>
    <t>JAN 9</t>
  </si>
  <si>
    <t>10.3389/fpls.2018.01926</t>
  </si>
  <si>
    <t>HG9DB</t>
  </si>
  <si>
    <t>WOS:000455305300001</t>
  </si>
  <si>
    <t>Bancic, J; Gorjanc, G; Tolhurst, DJ</t>
  </si>
  <si>
    <t>Bancic, J.; Gorjanc, G.; Tolhurst, D. J.</t>
  </si>
  <si>
    <t>A framework for simulating genotype-by-environment interaction using multiplicative models</t>
  </si>
  <si>
    <t>FACTOR-ANALYTIC MODELS; MIXED MODELS; GENOMIC SELECTION; YIELD TRIALS; VARIETY; PREDICTION; VARIANCE; GGE</t>
  </si>
  <si>
    <t>Key messageThe simulation of genotype-by-environment interaction using multiplicative models provides a general and scalable framework to generate realistic multi-environment datasets and model plant breeding programmes.AbstractPlant breeding has been historically shaped by genotype-by-environment interaction (GEI). Despite its importance, however, many current simulations do not adequately capture the complexity of GEI inherent to plant breeding. The framework developed in this paper simulates GEI with desirable structure using multiplicative models. The framework can be used to simulate a hypothetical target population of environments (TPE), from which many different multi-environment trial (MET) datasets can be sampled. Measures of variance explained and expected accuracy are developed to tune the simulation of non-crossover and crossover GEI and quantify the MET-TPE alignment. The framework has been implemented within the R package FieldSimR, and is demonstrated here using two working examples supported by R code. The first example embeds the framework into a linear mixed model to generate MET datasets with low, moderate and high GEI, which are used to compare several popular statistical models applied to plant breeding. The prediction accuracy generally increases as the level of GEI decreases or the number of environments sampled in the MET increases. The second example integrates the framework into a breeding programme simulation to compare genomic and phenotypic selection strategies over time. Genomic selection outperforms phenotypic selection by similar to\documentclass[12pt]{minimal} \usepackage{amsmath} \usepackage{wasysym} \usepackage{amsfonts} \usepackage{amssymb} \usepackage{amsbsy} \usepackage{mathrsfs} \usepackage{upgreek} \setlength{\oddsidemargin}{-69pt} \begin{document}$$\sim $$\end{document}50-70% in the TPE, depending on the level of GEI. These examples demonstrate how the new framework can be used to generate realistic MET datasets and model plant breeding programmes that better reflect the complexity of real-world settings, making it a valuable tool for optimising a wide range of breeding methodologies.</t>
  </si>
  <si>
    <t>[Bancic, J.; Gorjanc, G.; Tolhurst, D. J.] Univ Edinburgh, Roslin Inst, Edinburgh, Scotland; [Bancic, J.; Gorjanc, G.; Tolhurst, D. J.] Univ Edinburgh, Royal Dick Sch Vet Studies, Edinburgh, Scotland</t>
  </si>
  <si>
    <t>University of Edinburgh; UK Research &amp; Innovation (UKRI); Biotechnology and Biological Sciences Research Council (BBSRC); Roslin Institute; University of Edinburgh</t>
  </si>
  <si>
    <t>Bancic, J; Tolhurst, DJ (corresponding author), Univ Edinburgh, Roslin Inst, Edinburgh, Scotland.;Bancic, J; Tolhurst, DJ (corresponding author), Univ Edinburgh, Royal Dick Sch Vet Studies, Edinburgh, Scotland.</t>
  </si>
  <si>
    <t>jbancic@ed.ac.uk; dtolhurs@ed.ac.uk</t>
  </si>
  <si>
    <t>Tolhurst, Daniel/GYU-2610-2022</t>
  </si>
  <si>
    <t>Tolhurst, Daniel/0000-0002-4787-080X; Bancic, Jon/0000-0001-7077-7163</t>
  </si>
  <si>
    <t>BBSRC</t>
  </si>
  <si>
    <t>BBSRC(UK Research &amp; Innovation (UKRI)Biotechnology and Biological Sciences Research Council (BBSRC))</t>
  </si>
  <si>
    <t>The authors thank Colin Cavanagh, Antje Rohde and Nicole Cocks for their stimulating discussions. We also thank the referees whose comments have led to an improved manuscript.</t>
  </si>
  <si>
    <t>AUG</t>
  </si>
  <si>
    <t>10.1007/s00122-024-04644-7</t>
  </si>
  <si>
    <t>A8X6H</t>
  </si>
  <si>
    <t>WOS:001285315200001</t>
  </si>
  <si>
    <t>Podlich, DW; Cooper, M</t>
  </si>
  <si>
    <t>McKay, B; Yao, X; Newton, CS; Kim, JH; Furuhashi, T</t>
  </si>
  <si>
    <t>Modelling plant breeding programs as search strategies on a complex response surface</t>
  </si>
  <si>
    <t>SIMULATED EVOLUTION AND LEARNING</t>
  </si>
  <si>
    <t>LECTURE NOTES IN ARTIFICIAL INTELLIGENCE</t>
  </si>
  <si>
    <t>Article; Proceedings Paper</t>
  </si>
  <si>
    <t>2nd Asia-Pacific Conference on Simulated Evolution and Learning (SEAL 98)</t>
  </si>
  <si>
    <t>NOV 24-27, 1998</t>
  </si>
  <si>
    <t>CANBERRA, AUSTRALIA</t>
  </si>
  <si>
    <t>fitness; adaptation; landscape; GxE interaction; epistasis; plant breeding</t>
  </si>
  <si>
    <t>The concept of an adaptation (fitness) landscape has been used to explain evolutionary processes. The landscape is a response surface for the genetic space defined by a genotype-environment system and evolution of populations through natural selection a search for higher peaks in this space. This is an appealing framework for other disciplines interested in issues of search and optimisation. One such application is the genetic improvement of traits in plant breeding. Here, breeding programs can be viewed and analysed as search strategies that are used to explore the surface of an adaptation landscape to find higher adaptive positions. The current theoretical framework considers genetic improvement as a hill climbing process on a smooth single peaked adaptation landscape. However, there is strong evidence to suggest that due to the effects of genotype-by-environment (GxE) interactions and epistasis, the landscapes encountered by plant breeders are in fact rugged and multi-peaked. Simulation methodology was used to compare two selection strategies currently used in plant breeding and investigate their capacity to confront the difficulties associated with the influences of GxE interaction and epistasis: (i) selection of genotypes based on performance in a single environment (mass selection), and (ii) selection of genotypes based on performance in several environments (multi-environment testing). A third selection strategy was proposed for genetic improvement on more complex adaptation landscapes. This selection strategy (shifting search strategy) was based on Wright's 'Shifting Balance Theory'.</t>
  </si>
  <si>
    <t>Univ Queensland, Sch Land &amp; Food, Brisbane, Qld, Australia</t>
  </si>
  <si>
    <t>Podlich, DW (corresponding author), Univ Queensland, Sch Land &amp; Food, Brisbane, Qld, Australia.</t>
  </si>
  <si>
    <t>Cooper, Matthew/C-7988-2009</t>
  </si>
  <si>
    <t>Cooper, Matthew/0000-0003-3147-3460</t>
  </si>
  <si>
    <t>SPRINGER-VERLAG BERLIN</t>
  </si>
  <si>
    <t>HEIDELBERGER PLATZ 3, D-14197 BERLIN, GERMANY</t>
  </si>
  <si>
    <t>0302-9743</t>
  </si>
  <si>
    <t>3-540-65907-2</t>
  </si>
  <si>
    <t>LECT NOTES ARTIF INT</t>
  </si>
  <si>
    <t>Computer Science, Artificial Intelligence</t>
  </si>
  <si>
    <t>Conference Proceedings Citation Index - Science (CPCI-S); Science Citation Index Expanded (SCI-EXPANDED)</t>
  </si>
  <si>
    <t>Computer Science</t>
  </si>
  <si>
    <t>BP96U</t>
  </si>
  <si>
    <t>WOS:000086778800022</t>
  </si>
  <si>
    <t>Hoyos-Villegas, V; Arief, VN; Yang, WH; Sun, MZ; DeLacy, IH; Barrett, BA; Jahufer, Z; Basfor, KE</t>
  </si>
  <si>
    <t>Hoyos-Villegas, Valerio; Arief, Vivi N.; Yang, Wen-Hsi; Sun, Mingzhu; DeLacy, Ian H.; Barrett, Brent A.; Jahufer, Zulfi; Basfor, Kaye E.</t>
  </si>
  <si>
    <t>QuLinePlus: extending plant breeding strategy and genetic model simulation to cross-pollinated populations-case studies in forage breeding</t>
  </si>
  <si>
    <t>SELECTION; QTL</t>
  </si>
  <si>
    <t>Plant breeders are supported by a range of tools that assist them to make decisions about the conduct or design of plant breeding programs. Simulations are a strategic tool that enables the breeder to integrate the multiple components of a breeding program into a number of proposed scenarios that are compared by a range of statistics measuring the efficiency of the proposed systems. A simulation study for the trait growth score compared two major strategies for breeding forage species, among half-sib family selection and among and within half-sib family selection. These scenarios highlighted new features of the QuLine program, now called QuLinePlus, incorporated to enable the software platform to be used to simulate breeding programs for cross-pollinated species. Each strategy was compared across three levels of half-sib family mean heritability (0.1, 0.5, and 0.9), across three sizes of the initial parental population (10, 50, and 100), and across three genetic effects models (fully additive model, a mixture of additive, partial and over dominance model, and a mixture of partial dominance and over dominance model). Among and within half-sib selection performed better than among half-sib selection for all scenarios. The new tools introduced into QuLinePlus should serve to accurately compare among methods and provide direction on how to achieve specific goals in the improvement of plant breeding programs for cross breeding species.</t>
  </si>
  <si>
    <t>[Hoyos-Villegas, Valerio] AgRes Lincoln Res Ctr, PB 4749, Christchurch, New Zealand; [Arief, Vivi N.; Yang, Wen-Hsi; Sun, Mingzhu; DeLacy, Ian H.; Basfor, Kaye E.] Univ Queensland, Sch Agr &amp; Food Sci, Brisbane, Qld 4072, Australia; [Yang, Wen-Hsi] Univ Queensland, Ctr Applicat Nat Resource Math CARM, Sch Math &amp; Phys, Brisbane, Qld 4072, Australia; [Barrett, Brent A.; Jahufer, Zulfi] AgRes Grasslands Res Ctr, PB 11008, Palmerston North, New Zealand; [Basfor, Kaye E.] Univ Queensland, Sch Biomed Sci, Brisbane, Qld 4072, Australia</t>
  </si>
  <si>
    <t>University of Queensland; University of Queensland; AgResearch - New Zealand; University of Queensland</t>
  </si>
  <si>
    <t>Hoyos-Villegas, V (corresponding author), AgRes Lincoln Res Ctr, PB 4749, Christchurch, New Zealand.</t>
  </si>
  <si>
    <t>valerio.hoyos-villegas@agresearch.co.nz</t>
  </si>
  <si>
    <t>Basford, Kaye/T-9578-2019; Arief, Vivi/A-6450-2018; Hoyos-Villegas, Valerio/O-6138-2018; Yang, Wen-Hsi/K-7188-2017</t>
  </si>
  <si>
    <t>Arief, Vivi/0000-0002-3980-1716; Sun, Mingzhu (Maggie)/0009-0008-7541-6920; Barrett, Brent/0000-0001-5367-7590; Hoyos-Villegas, Valerio/0000-0003-1080-9148; Basford, Kaye/0000-0003-0955-4504; Yang, Wen-Hsi/0000-0001-8236-0082</t>
  </si>
  <si>
    <t>Pastoral Genomics; DairyNZ; Beef+Lamb New Zealand; Dairy Australia; AgResearch Ltd; New Zealand Agriseeds Ltd; Grasslands Innovation Ltd; Ministry of Business, Innovation and Employment, New Zealand (MBIE)</t>
  </si>
  <si>
    <t>Pastoral Genomics; DairyNZ; Beef+Lamb New Zealand; Dairy Australia(Dairy Australia); AgResearch Ltd; New Zealand Agriseeds Ltd; Grasslands Innovation Ltd; Ministry of Business, Innovation and Employment, New Zealand (MBIE)(New Zealand Ministry of Business, Innovation and Employment (MBIE))</t>
  </si>
  <si>
    <t>The authors would like to acknowledge the revisions made by Mingshu Cao, Marcelo Carena, Marty Faville and Andrew Griffiths at AgResearch Grasslands. The research was supported by Pastoral Genomics, a joint venture co-funded by DairyNZ, Beef+Lamb New Zealand, Dairy Australia, AgResearch Ltd, New Zealand Agriseeds Ltd, Grasslands Innovation Ltd, and the Ministry of Business, Innovation and Employment, New Zealand (MBIE).</t>
  </si>
  <si>
    <t>NATURE PUBLISHING GROUP</t>
  </si>
  <si>
    <t>MACMILLAN BUILDING, 4 CRINAN ST, LONDON N1 9XW, ENGLAND</t>
  </si>
  <si>
    <t>MAY</t>
  </si>
  <si>
    <t>10.1038/s41437-018-0156-0</t>
  </si>
  <si>
    <t>HS6YY</t>
  </si>
  <si>
    <t>WOS:000464018400015</t>
  </si>
  <si>
    <t>Powell, OM; Voss-Fels, KP; Jordan, DR; Hammer, G; Cooper, M</t>
  </si>
  <si>
    <t>Powell, Owen M.; Voss-Fels, Kai P.; Jordan, David R.; Hammer, Graeme; Cooper, Mark</t>
  </si>
  <si>
    <t>Perspectives on Applications of Hierarchical Gene-To-Phenotype (G2P) Maps to Capture Non-stationary Effects of Alleles in Genomic Prediction</t>
  </si>
  <si>
    <t>multi-trait prediction; non-linear relationships; crop growth models; genetic correlation; non-additive genetic effects; epistasis; pleiotropy; GxE interactions</t>
  </si>
  <si>
    <t>X ENVIRONMENT INTERACTION; LONG-TERM SELECTION; BREEDING VALUES; GROWTH-MODELS; DAIRY-CATTLE; GENOTYPE; MAIZE; TRAITS; EPISTASIS; VARIANCE</t>
  </si>
  <si>
    <t>Genomic prediction of complex traits across environments, breeding cycles, and populations remains a challenge for plant breeding. A potential explanation for this is that underlying non-additive genetic (GxG) and genotype-by-environment (GxE) interactions generate allele substitution effects that are non-stationary across different contexts. Such non-stationary effects of alleles are either ignored or assumed to be implicitly captured by most gene-to-phenotype (G2P) maps used in genomic prediction. The implicit capture of non-stationary effects of alleles requires the G2P map to be re-estimated across different contexts. We discuss the development and application of hierarchical G2P maps that explicitly capture non-stationary effects of alleles and have successfully increased short-term prediction accuracy in plant breeding. These hierarchical G2P maps achieve increases in prediction accuracy by allowing intermediate processes such as other traits and environmental factors and their interactions to contribute to complex trait variation. However, long-term prediction remains a challenge. The plant breeding community should undertake complementary simulation and empirical experiments to interrogate various hierarchical G2P maps that connect GxG and GxE interactions simultaneously. The existing genetic correlation framework can be used to assess the magnitude of non-stationary effects of alleles and the predictive ability of these hierarchical G2P maps in long-term, multi-context genomic predictions of complex traits in plant breeding.</t>
  </si>
  <si>
    <t>[Powell, Owen M.; Voss-Fels, Kai P.; Hammer, Graeme; Cooper, Mark] Univ Queensland, Ctr Crop Sci, Queensland Alliance Agr &amp; Food Innovat, St Lucia, Qld, Australia; [Jordan, David R.] Univ Queensland, Hermitage Res Facil, Queensland Alliance Agr &amp; Food Innovat, Warwick, Qld, Australia; [Powell, Owen M.; Jordan, David R.; Hammer, Graeme; Cooper, Mark] Univ Queensland, ARC Ctr Excellence Plant Success Nat &amp; Agr, St Lucia, Qld, Australia</t>
  </si>
  <si>
    <t>University of Queensland; University of Queensland; University of Queensland; ARC Centre of Excellence for Plant Success in Nature &amp; Agriculture</t>
  </si>
  <si>
    <t>Powell, OM (corresponding author), Univ Queensland, Ctr Crop Sci, Queensland Alliance Agr &amp; Food Innovat, St Lucia, Qld, Australia.;Powell, OM (corresponding author), Univ Queensland, ARC Ctr Excellence Plant Success Nat &amp; Agr, St Lucia, Qld, Australia.</t>
  </si>
  <si>
    <t>o.powell2@uq.edu.au</t>
  </si>
  <si>
    <t>Powell, Owen/ABE-9640-2020; Hammer, Graeme/A-3785-2008</t>
  </si>
  <si>
    <t>Powell, Owen/0000-0001-5131-4286; Hammer, Graeme/0000-0002-1180-7374; Voss-Fels, Kai Peter/0000-0003-0782-366X</t>
  </si>
  <si>
    <t>Australian Research Council Centre of Excellence for Plant Success in Nature and Agriculture [CE200100015]; Australian Grains Research and Development Corporation project [UOQ1903-008RTX]; Australian Research Council Discovery Early Career Research Award [DE210101407]; Australian Research Council [DE210101407] Funding Source: Australian Research Council</t>
  </si>
  <si>
    <t>Australian Research Council Centre of Excellence for Plant Success in Nature and Agriculture(Australian Research Council); Australian Grains Research and Development Corporation project(Grains R&amp;D Corp); Australian Research Council Discovery Early Career Research Award(Australian Research Council); Australian Research Council(Australian Research Council)</t>
  </si>
  <si>
    <t>Contribution supported by the Australian Research Council Centre of Excellence for Plant Success in Nature and Agriculture (CE200100015) and the Australian Grains Research and Development Corporation project UOQ1903-008RTX. KV-F was supported by an Australian Research Council Discovery Early Career Research Award (DE210101407).</t>
  </si>
  <si>
    <t>JUN 4</t>
  </si>
  <si>
    <t>10.3389/fpls.2021.663565</t>
  </si>
  <si>
    <t>SU1YU</t>
  </si>
  <si>
    <t>WOS:000662938800001</t>
  </si>
  <si>
    <t>Lourenço, VM; Ogutu, JO; Piepho, HP</t>
  </si>
  <si>
    <t>Lourenco, Vanda Milheiro; Ogutu, Joseph Ochieng; Piepho, Hans-Peter</t>
  </si>
  <si>
    <t>Robust estimation of heritability and predictive accuracy in plant breeding: evaluation using simulation and empirical data</t>
  </si>
  <si>
    <t>BMC GENOMICS</t>
  </si>
  <si>
    <t>Genomic prediction; Predictive accuracy; Heritability; SNPs; Robust estimation</t>
  </si>
  <si>
    <t>RIDGE-REGRESSION; GENOMIC PREDICTION; OUTLIER DETECTION; SELECTION; VARIANCE</t>
  </si>
  <si>
    <t>Background Genomic prediction (GP) is used in animal and plant breeding to help identify the best genotypes for selection. One of the most important measures of the effectiveness and reliability of GP in plant breeding is predictive accuracy. An accurate estimate of this measure is thus central to GP. Moreover, regression models are the models of choice for analyzing field trial data in plant breeding. However, models that use the classical likelihood typically perform poorly, often resulting in biased parameter estimates, when their underlying assumptions are violated. This typically happens when data are contaminated with outliers. These biases often translate into inaccurate estimates of heritability and predictive accuracy, compromising the performance of GP. Since phenotypic data are susceptible to contamination, improving the methods for estimating heritability and predictive accuracy can enhance the performance of GP. Robust statistical methods provide an intuitively appealing and a theoretically well justified framework for overcoming some of the drawbacks of classical regression, most notably the departure from the normality assumption. We compare the performance of robust and classical approaches to two recently published methods for estimating heritability and predictive accuracy of GP using simulation of several plausible scenarios of random and block data contamination with outliers and commercial maize and rye breeding datasets. Results The robust approach generally performed as good as or better than the classical approach in phenotypic data analysis and in estimating the predictive accuracy of heritability and genomic prediction under both the random and block contamination scenarios. Notably, it consistently outperformed the classical approach under the random contamination scenario. Analyses of the empirical maize and rye datasets further reinforce the stability and reliability of the robust approach in the presence of outliers or missing data. Conclusions The proposed robust approach enhances the predictive accuracy of heritability and genomic prediction by minimizing the deleterious effects of outliers for a broad range of simulation scenarios and empirical breeding datasets. Accordingly, plant breeders should seriously consider regularly using the robust alongside the classical approach and increasing the number of replicates to three or more, to further enhance the accuracy of the robust approach.</t>
  </si>
  <si>
    <t>[Lourenco, Vanda Milheiro] NOVA Univ Lisbon, Dept Math, Fac Sci &amp; Technol, P-2829516 Caparica, Portugal; [Lourenco, Vanda Milheiro] CMA, P-2829516 Caparica, Portugal; [Ogutu, Joseph Ochieng; Piepho, Hans-Peter] Univ Hohenheim, Inst Crop Sci, Biostat Unit, Fruwirthstr 23, D-70599 Stuttgart, Germany</t>
  </si>
  <si>
    <t>Universidade Nova de Lisboa; University Hohenheim</t>
  </si>
  <si>
    <t>Lourenço, VM (corresponding author), NOVA Univ Lisbon, Dept Math, Fac Sci &amp; Technol, P-2829516 Caparica, Portugal.;Lourenço, VM (corresponding author), CMA, P-2829516 Caparica, Portugal.</t>
  </si>
  <si>
    <t>vmml@fct.unl.pt</t>
  </si>
  <si>
    <t>Lourenço, Vanda/HGE-5027-2022; Lourenco, Vanda/R-8664-2018</t>
  </si>
  <si>
    <t>Piepho, Hans-Peter/0000-0001-7813-2992; Lourenco, Vanda/0000-0001-8338-7279</t>
  </si>
  <si>
    <t>Portuguese National Funds by the Fundacao para a Ciencia e a Tecnologia (Portuguese Foundation for Science and Technology) [PTDC/MAT-STA/0568/2012, UID/MAT/00297/2019, UIDB/00297/2020, SFRH/BSAB/105935/2014, SFRH/BSAB/142919/2018]; Conselho de Reitores das Universidades Portuguesas (CRUP); Deutscher Akademischer Austauschdienst (DAAD) through the Luso-German Integrated Actions Project [PT/A13/17-DE/57339863]; German Research Foundation (DFG) [OG 83/1-1, OG 83/1-2, PI 377/18-1]; Fundação para a Ciência e a Tecnologia [SFRH/BSAB/142919/2018, PTDC/MAT-STA/0568/2012] Funding Source: FCT</t>
  </si>
  <si>
    <t>Portuguese National Funds by the Fundacao para a Ciencia e a Tecnologia (Portuguese Foundation for Science and Technology); Conselho de Reitores das Universidades Portuguesas (CRUP); Deutscher Akademischer Austauschdienst (DAAD) through the Luso-German Integrated Actions Project(Deutscher Akademischer Austausch Dienst (DAAD)); German Research Foundation (DFG)(German Research Foundation (DFG)); Fundação para a Ciência e a Tecnologia(Fundacao para a Ciencia e a Tecnologia (FCT))</t>
  </si>
  <si>
    <t>This work received partial financial support from Portuguese National Funds by the Fundacao para a Ciencia e a Tecnologia (Portuguese Foundation for Science and Technology) through Projects PTDC/MAT-STA/0568/2012, UID/MAT/00297/2019 and UIDB/00297/2020 (CMA: Centro de Matematica e Aplicacoes) and Sabbatical Grants SFRH/BSAB/105935/2014 and SFRH/BSAB/142919/2018. VML, HPP &amp; JOO acknowledge partial support by the Conselho de Reitores das Universidades Portuguesas (CRUP) and the Deutscher Akademischer Austauschdienst (DAAD) through the Luso-German Integrated Actions Project PT/A13/17-DE/57339863. HPP acknowledges support by the German Research Foundation (DFG, Grant PI 377/18-1). JOO was supported by the German Research Foundation (DFG, Grant OG 83/1-1 &amp; OG 83/1-2).</t>
  </si>
  <si>
    <t>BMC</t>
  </si>
  <si>
    <t>CAMPUS, 4 CRINAN ST, LONDON N1 9XW, ENGLAND</t>
  </si>
  <si>
    <t>1471-2164</t>
  </si>
  <si>
    <t>BMC Genomics</t>
  </si>
  <si>
    <t>JAN 14</t>
  </si>
  <si>
    <t>10.1186/s12864-019-6429-z</t>
  </si>
  <si>
    <t>Biotechnology &amp; Applied Microbiology; Genetics &amp; Heredity</t>
  </si>
  <si>
    <t>KW7CM</t>
  </si>
  <si>
    <t>gold, Green Published</t>
  </si>
  <si>
    <t>WOS:000521340000004</t>
  </si>
  <si>
    <t>Peternelli, LA; de Souza, EFM; Barbosa, MHP; de Carvalho, MP</t>
  </si>
  <si>
    <t>Peternelli, Luiz Alexandre; Maia de Souza, Emanuel Fernando; Pereira Barbosa, Marcio Henrique; de Carvalho, Melissa Pisaroglo</t>
  </si>
  <si>
    <t>Augmented designs in plant breeding under resource constrain</t>
  </si>
  <si>
    <t>CIENCIA RURAL</t>
  </si>
  <si>
    <t>selection; simulation; Saccharum spp.</t>
  </si>
  <si>
    <t>This study aimed to compare the efficiency in the selection of genotypes and the quality of the estimates of the variance components and heritability using the augmented block designs (ABD), the duplicated augmented block designs (DABD) and the group of randomized blocks design experiments with common treatments (ERBCT). For comparison, it was imposed a condition that the number of genotypes under selection was greater than the number of units available for experimental designs with repetition. Four scenarios were composed of a combination of different values of heritability and parametric residual coefficient of variation. From the 2400 simulations per scenario the ABD had the highest selection efficiency. The designs with repetition (DABD and ERBCT) had similar selection efficiency between them. It is possible to conclude that not using repetitions, and therefore, evaluating a larger number of genotypes, can bring better results to the plant breeding program.</t>
  </si>
  <si>
    <t>[Peternelli, Luiz Alexandre] Univ Fed Vicosa, Dept Estatist, BR-36570000 Vicosa, MG, Brazil; [Maia de Souza, Emanuel Fernando] Univ Fed Rondonia UNIR, Dept Agron, Rolim De Moura, RO, Brazil; [Pereira Barbosa, Marcio Henrique] Univ Fed Vicosa, Dept Fitotecnia, BR-36570000 Vicosa, MG, Brazil; [de Carvalho, Melissa Pisaroglo] Univ Fed Vicosa, Programa Posgrad Genet &amp; Melhoramento, BR-36570000 Vicosa, MG, Brazil</t>
  </si>
  <si>
    <t>Universidade Federal de Vicosa; Universidade Federal de Rondonia; Universidade Federal de Vicosa; Universidade Federal de Vicosa</t>
  </si>
  <si>
    <t>Peternelli, LA (corresponding author), Univ Fed Vicosa, Dept Estatist, BR-36570000 Vicosa, MG, Brazil.</t>
  </si>
  <si>
    <t>peternelli@ufv.br</t>
  </si>
  <si>
    <t>Peternelli, Luiz/K-6611-2012; Maia, Emanuel/H-5107-2011</t>
  </si>
  <si>
    <t>Peternelli, Luiz/0000-0002-7683-0583; Maia, Emanuel/0000-0002-5493-2183</t>
  </si>
  <si>
    <t>UNIV FEDERAL SANTA MARIA</t>
  </si>
  <si>
    <t>SANTA MARIA</t>
  </si>
  <si>
    <t>CIDADE UNIV, BAIRRO CAMOBI, SANTA MARIA, RS 97105-900, BRAZIL</t>
  </si>
  <si>
    <t>0103-8478</t>
  </si>
  <si>
    <t>1678-4596</t>
  </si>
  <si>
    <t>CIENC RURAL</t>
  </si>
  <si>
    <t>Cienc. Rural</t>
  </si>
  <si>
    <t>10.1590/S0103-84782009005000209</t>
  </si>
  <si>
    <t>535EO</t>
  </si>
  <si>
    <t>Green Submitted, gold, Green Published</t>
  </si>
  <si>
    <t>WOS:000272949900007</t>
  </si>
  <si>
    <t>Vieira, RA; Nogueira, APO; Fritsche-Neto, R</t>
  </si>
  <si>
    <t>Vieira, Rafael Augusto; Nogueira, Ana Paula Oliveira; Fritsche-Neto, Roberto</t>
  </si>
  <si>
    <t>Optimizing the selection of quantitative traits in plant breeding using simulation</t>
  </si>
  <si>
    <t>genetic gain; genetic diversity; simulation; genomic selection; prediction accuracy; selection response; breeding methods; breeding optimization</t>
  </si>
  <si>
    <t>MARKER-ASSISTED SELECTION; GENOMIC SELECTION; COMPUTER-SIMULATION; RECURRENT SELECTION; PREDICTION; POPULATION; INTROGRESSION; STRATEGIES; IMPROVEMENT; EFFICIENCY</t>
  </si>
  <si>
    <t>This review summarizes findings from simulation studies on quantitative traits in plant breeding and translates these insights into practical schemes. As agricultural productivity faces growing challenges, plant breeding is central to addressing these issues. Simulations use mathematical models to replicate biological conditions, bridging theory and practice by validating hypotheses early and optimizing genetic gain and resource use. While strategies can improve trait value, they reduce genetic diversity, making a combination of approaches essential. Studies emphasize the importance of aligning strategy with trait heritability and selection timing and maintaining genetic diversity while considering genotype-environment interactions to avoid biases in early selection. Using markers accelerates breeding cycles when marker placement is precise, foreground and background selection are balanced, and QTL are effectively managed. Genomic selection increases genetic gains by shortening breeding cycles and improving parent selection, especially for low heritability traits and complex genetic architectures. Regular updates of training sets are critical, regardless of genetic architecture. Bayesian methods perform well with fewer genes and in early breeding cycles, while BLUP is more robust for traits with many QTL, and RR-BLUP proves flexible across different conditions. Larger populations lead to greater gains when clear objectives and adequate germplasm are available. Accuracy declines over generations, influenced by genetic architecture and population size. For low heritability traits, multi-trait analysis improves accuracy, especially when correlated with high heritability traits. Updates including top-performing candidates, but conserving variability enhances gains and accuracy. Low-density genotyping and imputation offer cost-effective alternatives to high-density genotyping, achieving comparable results. Targeting populations optimizes genetic relationships, further improving accuracy and breeding outcomes. Evaluating genomic selection reveals a balance between short-term gains and long-term potential and rapid-cycling genomic programs excel. Diverse approaches preserve rare alleles, achieve significant gains, and maintain diversity, highlighting the trade-offs in optimizing breeding success.</t>
  </si>
  <si>
    <t>[Vieira, Rafael Augusto] Crop Sci Breeding, Dept Res &amp; Dev, Uberlandia, Brazil; [Nogueira, Ana Paula Oliveira] Univ Fed Uberlandia, Inst Biotechnol, Grad Program Genet &amp; Biochem, Grad Program Agron, Uberlandia, Brazil; [Fritsche-Neto, Roberto] Louisiana State Univ, Dept Plant Environm &amp; Soil Sci, Baton Rouge, LA USA</t>
  </si>
  <si>
    <t>Universidade Federal de Uberlandia; Louisiana State University System; Louisiana State University</t>
  </si>
  <si>
    <t>Vieira, RA (corresponding author), Crop Sci Breeding, Dept Res &amp; Dev, Uberlandia, Brazil.</t>
  </si>
  <si>
    <t>rafael.vieira2@ufu.br</t>
  </si>
  <si>
    <t>CNPq - Conselho Nacional de Desenvolvimento; FAPEMIG - Fundacao de Amparo a Pesquisa do Estado de Minas Gerais</t>
  </si>
  <si>
    <t>CNPq - Conselho Nacional de Desenvolvimento(Conselho Nacional de Desenvolvimento Cientifico e Tecnologico (CNPQ)); FAPEMIG - Fundacao de Amparo a Pesquisa do Estado de Minas Gerais(Fundacao de Amparo a Pesquisa do Estado de Minas Gerais (FAPEMIG))</t>
  </si>
  <si>
    <t>We thank CNPq - Conselho Nacional de Desenvolvimento and FAPEMIG - Fundacao de Amparo a Pesquisa do Estado de Minas Gerais for financial support.The author(s) declare that no financial support was received for the research, authorship, and/or publication of this article.</t>
  </si>
  <si>
    <t>FEB 10</t>
  </si>
  <si>
    <t>10.3389/fpls.2025.1495662</t>
  </si>
  <si>
    <t>X9I1R</t>
  </si>
  <si>
    <t>gold</t>
  </si>
  <si>
    <t>WOS:001428384400001</t>
  </si>
  <si>
    <t>Tidåker, P; Bergkvist, G; Bolinder, M; Eckersten, H; Johnsson, H; Kätterer, T; Weih, M</t>
  </si>
  <si>
    <t>Tidaker, Pernilla; Bergkvist, Goran; Bolinder, Martin; Eckersten, Henrik; Johnsson, Holger; Katterer, Thomas; Weih, Martin</t>
  </si>
  <si>
    <t>Estimating the environmental footprint of barley with improved nitrogen uptake efficiency-a Swedish scenario study</t>
  </si>
  <si>
    <t>EUROPEAN JOURNAL OF AGRONOMY</t>
  </si>
  <si>
    <t>LCA; Life cycle analysis; Nitrogen use efficiency; Plant breeding; Simulation modelling; SOILNDB</t>
  </si>
  <si>
    <t>LIFE-CYCLE ASSESSMENT; CARBON BALANCE MODEL; SOIL CARBON; AGRICULTURAL SOILS; GREENHOUSE; EMISSIONS; SUSTAINABILITY; DYNAMICS; EVALUATE; CLIMATE</t>
  </si>
  <si>
    <t>Plant breeding is a powerful tool for improving nitrogen (N) uptake efficiency and thus reducing the environmental impact relating to crop production. This study evaluated the environmental impact of current barley production systems in two Swedish agricultural areas (South and East) compared with scenarios with improved N uptake efficiency at two levels, in which the fraction of mineral N available for daily crop uptake was increased by 50 and 100%. Life cycle assessment (LCA) methodology was used to quantify energy use, global warming potential (GWP) and acidification and eutrophication potentials along the production chain for spring barley with differing N uptake efficiency, but similar N application rate. The functional unit, to which all energy use and emissions were related, was 1 Mg barley grain. Energy use, GWP and acidification proved to be higher for the East production system, mainly due to lower yield, while eutrophication was higher for South. The two impacts most affected by improved N uptake efficiency were eutrophication and GWP, with GWP decreasing due to a combination of higher yield, soil carbon sequestration and lower indirect emissions of N2O due to lower N leaching. Accounting for land savings due to increased yield, reducing the pressure to transform land elsewhere, would further lower the carbon footprint. Potential eutrophication per Mg grain was reduced by 15% in the production system with the highest N uptake efficiency in southern Sweden. Crops with improved N uptake efficiency can thus be an important complementary measure for reducing N losses to water, provided that the N application rate does not increase. However, incentives for farmers to maintain or even lower the N application rate might be required. Using simulation modelling is a promising approach for assessment of expected effects of improved crop varieties when no long-term experimental data are available. However, advanced crop models are required to better reflect the effect of plant breeding on e.g. expected yield. Future model development should involve expertise in plant breeding, plant physiology and dynamic crop and soil modelling. (C) 2016 Elsevier B.V. All rights reserved.</t>
  </si>
  <si>
    <t>[Tidaker, Pernilla] Swedish Inst Agr &amp; Environm Engn, POB 7033, S-75007 Uppsala, Sweden; [Bergkvist, Goran; Eckersten, Henrik; Weih, Martin] Swedish Univ Agr Sci, Dept Crop Prod Ecol, POB 7043, S-75007 Uppsala, Sweden; [Bolinder, Martin; Katterer, Thomas] Swedish Univ Agr Sci, Dept Ecol, POB 7044, S-75007 Uppsala, Sweden; [Johnsson, Holger] Swedish Univ Agr Sci, Dept Soil &amp; Environm, POB 7014, S-75007 Uppsala, Sweden</t>
  </si>
  <si>
    <t>Swedish University of Agricultural Sciences; Swedish University of Agricultural Sciences; Swedish University of Agricultural Sciences</t>
  </si>
  <si>
    <t>Tidåker, P (corresponding author), Swedish Inst Agr &amp; Environm Engn, POB 7033, S-75007 Uppsala, Sweden.</t>
  </si>
  <si>
    <t>pernilla.tidaker@jti.se</t>
  </si>
  <si>
    <t>Weih, Martin/H-5093-2011; Katterer, Thomas/L-2107-2013</t>
  </si>
  <si>
    <t>Weih, Martin/0000-0003-3823-9183; Katterer, Thomas/0000-0002-1751-007X; Bergkvist, Goran/0000-0001-9287-0510</t>
  </si>
  <si>
    <t>Mistra Biotech, an interdisciplinary research programme focusing on the use of biotechnology for sustainable and competitive agriculture</t>
  </si>
  <si>
    <t>This study was funded by Mistra Biotech, an interdisciplinary research programme focusing on the use of biotechnology for sustainable and competitive agriculture hosted by the Swedish University of Agricultural Sciences. Thanks to Professor Lotta Rydhmer and Associate Professor Hakan Marstorp for initiating the study and for comments on the manuscript.</t>
  </si>
  <si>
    <t>ELSEVIER</t>
  </si>
  <si>
    <t>AMSTERDAM</t>
  </si>
  <si>
    <t>RADARWEG 29, 1043 NX AMSTERDAM, NETHERLANDS</t>
  </si>
  <si>
    <t>1161-0301</t>
  </si>
  <si>
    <t>1873-7331</t>
  </si>
  <si>
    <t>EUR J AGRON</t>
  </si>
  <si>
    <t>Eur. J. Agron.</t>
  </si>
  <si>
    <t>OCT</t>
  </si>
  <si>
    <t>10.1016/j.eja.2016.06.013</t>
  </si>
  <si>
    <t>DW8YW</t>
  </si>
  <si>
    <t>WOS:000383942400005</t>
  </si>
  <si>
    <t>Di Rienzo, J; Gonzalez, L; Tablada, M; Bruno, C; Balzarini, M</t>
  </si>
  <si>
    <t>Di Rienzo, Julio; Gonzalez, Laura; Tablada, M.; Bruno, Cecilia; Balzarini, Monica</t>
  </si>
  <si>
    <t>A Cluster-Based Technique to Group Random Effects from Empirical BLUPs: An Application to Genotype Selection</t>
  </si>
  <si>
    <t>JOURNAL OF CROP IMPROVEMENT</t>
  </si>
  <si>
    <t>Hierarchical cluster algorithms; genetic merits; plant breeding</t>
  </si>
  <si>
    <t>Prediction of random effects arises in many applications, including plant breeding. Plant breeders strive to select genotypes according to predictions of unobserved genetic merits derived from phenotypic data. There are several approaches to predict random effects, but a popular one is to use empirical BLUPs (EBLUP) of genetic effects to rank genotypes. The problem is how best to use EBLUP values to select a set of truly superior genotypes with high probability. In this paper, we propose an algorithm based on hierarchical cluster analysis to group genotypes according to their EBLUPs. Clustering algorithms produce no analytical expression to solve the problem of detecting the number of underlying groups. Via simulation, we obtain decision curves to group genotypes from an EBLUP-based dendrogram. The new algorithm has good operating characteristics and can be used to select genotypes with high genetic merit. (C) 2005 by The Haworth Press, Inc. All rights reserved.</t>
  </si>
  <si>
    <t>[Di Rienzo, Julio; Gonzalez, Laura; Tablada, M.; Bruno, Cecilia; Balzarini, Monica] Univ Nacl Cordoba, Fac Ciencias Agr, Ave Valparaiso S-N,Ciudad Univ, RA-5000 Cordoba, Argentina; [Bruno, Cecilia; Balzarini, Monica] CONICET Natl Council Sci &amp; Technol Res, Buenos Aires, DF, Argentina</t>
  </si>
  <si>
    <t>National University of Cordoba; Consejo Nacional de Investigaciones Cientificas y Tecnicas (CONICET)</t>
  </si>
  <si>
    <t>Di Rienzo, J (corresponding author), Univ Nacl Cordoba, Fac Ciencias Agr, Ave Valparaiso S-N,Ciudad Univ, RA-5000 Cordoba, Argentina.</t>
  </si>
  <si>
    <t>dirienzo@agro.uncor.edu; mbalzari@agro.uncor.edu</t>
  </si>
  <si>
    <t>Bruno, Cecilia/KFQ-0183-2024; Balzarini, Monica/HKM-9916-2023</t>
  </si>
  <si>
    <t>Balzarini, Monica/0000-0002-4858-4637; Bruno, Cecilia/0000-0002-3674-7128</t>
  </si>
  <si>
    <t>National University of Cordoba (SECYT); National Agency of Science and Technology of Argentina [FONCYT-PICT 0808302]</t>
  </si>
  <si>
    <t>National University of Cordoba (SECYT)(Secretaria de Ciencia y Tecnologia (SECYT)); National Agency of Science and Technology of Argentina</t>
  </si>
  <si>
    <t>The authors would like to thank Dr. Manjit Kang for his contributions to this paper. This work was supported by National University of Cordoba (SECYT) and National Agency of Science and Technology of Argentina (FONCYT-PICT 0808302).</t>
  </si>
  <si>
    <t>TAYLOR &amp; FRANCIS INC</t>
  </si>
  <si>
    <t>PHILADELPHIA</t>
  </si>
  <si>
    <t>530 WALNUT STREET, STE 850, PHILADELPHIA, PA 19106 USA</t>
  </si>
  <si>
    <t>1542-7528</t>
  </si>
  <si>
    <t>1542-7536</t>
  </si>
  <si>
    <t>J CROP IMPROV</t>
  </si>
  <si>
    <t>J. Crop Improv.</t>
  </si>
  <si>
    <t>10.1300/J411v15n01_10</t>
  </si>
  <si>
    <t>Emerging Sources Citation Index (ESCI)</t>
  </si>
  <si>
    <t>VH3GI</t>
  </si>
  <si>
    <t>WOS:000452664100010</t>
  </si>
  <si>
    <t>de Souza, EFM; Peternelli, LA; Barbosa, MHP</t>
  </si>
  <si>
    <t>de Souza, Emanuel Fernando Maia; Peternelli, Luiz Alexandre; Barbosa, Marcio Henrique Pereira</t>
  </si>
  <si>
    <t>Designs and model effects definitions in the initial stage of a plant breeding program</t>
  </si>
  <si>
    <t>PESQUISA AGROPECUARIA BRASILEIRA</t>
  </si>
  <si>
    <t>augmented design; incomplete block; selection; heritability; sugarcane; stochastic simulation</t>
  </si>
  <si>
    <t>The objective of this work was to compare the relative efficiency of initial selection and genetic parameter estimation, using augmented blocks design (ABD), augmented blocks twice replicated design (DABD) and group of randomised block design experiments with common treatments (ERBCT), by simulations, considering fixed effect model and mixed model with regular treatment effects as random. For the simulations, eight different conditions ( scenarios) were considered. From the 600 simulations in each scenario, the mean percentage selection coincidence, the Pearsons' s correlation estimates between adjusted means for the fixed effects model, and the heritability estimates for the mixed model were evaluated. DABD and ERBCT were very similar in their comparisons and slightly superior to ABD. Considering the initial stages of selection in a plant breeding program, ABD is a good alternative for selecting superior genotypes, although none of the designs had been effective to estimate heritability in all the different scenarios evaluated.</t>
  </si>
  <si>
    <t>Univ Fed Vicosa, Dept Informat, BR-36570000 Vicosa, MG, Brazil; Univ Fed Vicosa, Dept Fitotecn, BR-36570000 Vicosa, MG, Brazil</t>
  </si>
  <si>
    <t>Universidade Federal de Vicosa; Universidade Federal de Vicosa</t>
  </si>
  <si>
    <t>de Souza, EFM (corresponding author), Univ Fed Vicosa, Dept Informat, BR-36570000 Vicosa, MG, Brazil.</t>
  </si>
  <si>
    <t>emanuelfms@yahoo.com.br; peternelli@dpi.ufv.br; barbosa@ufv.br</t>
  </si>
  <si>
    <t>EMPRESA BRASIL PESQ AGROPEC</t>
  </si>
  <si>
    <t>BRASILIA DF</t>
  </si>
  <si>
    <t>EMBRAPA INFORMACAO TECNOLOGICA, PESQUISA AGROPECUARIA BRASILEIRA - PAB, CAIXA POSTAL 040315, 70770-901 BRASILIA DF, BRAZIL</t>
  </si>
  <si>
    <t>0100-204X</t>
  </si>
  <si>
    <t>1678-3921</t>
  </si>
  <si>
    <t>PESQUI AGROPECU BRAS</t>
  </si>
  <si>
    <t>Pesqui. Agropecu. Bras.</t>
  </si>
  <si>
    <t>MAR</t>
  </si>
  <si>
    <t>10.1590/S0100-204X2006000300001</t>
  </si>
  <si>
    <t>Agriculture, Multidisciplinary</t>
  </si>
  <si>
    <t>045KU</t>
  </si>
  <si>
    <t>WOS:000237741800001</t>
  </si>
  <si>
    <t>MUCHOW, RC; CARBERRY, PS</t>
  </si>
  <si>
    <t>A SIMULATION-MODEL OF KENAF FOR ASSISTING FIBER INDUSTRY PLANNING IN NORTHERN AUSTRALIA .5. IMPACT OF DIFFERENT CROP TRAITS</t>
  </si>
  <si>
    <t>AUSTRALIAN JOURNAL OF AGRICULTURAL RESEARCH</t>
  </si>
  <si>
    <t>KENAF; HIBISCUS-CANNABINUS; SIMULATION MODEL; CROP TRAITS; MEAN VARIANCE ANALYSIS</t>
  </si>
  <si>
    <t>BY-ENVIRONMENT INTERACTION; RADIATION USE EFFICIENCY; HIBISCUS-CANNABINUS L; GRAIN-SORGHUM; LEAF NITROGEN; IMPROVEMENT</t>
  </si>
  <si>
    <t>The production potential of rainfed kenaf in the Northern Territory (NT) (latitude 12-15-degrees-S.) has been assessed using a growth simulation model for the cultivar Guatemala 4. However, this raises the important question of how well-suited is this cultivar, and what are the likely yield gains which might be obtained by breeding or selecting a different cultivar. Answering these questions with conventional experimentation would be expensive, given the variable yield response among seasons associated with rainfall variability in the NT. Accordingly, the kenaf growth simulation model NTKENAF was used in conjunction with long-term climatic data for two sites in the NT to assess the value of different plant traits relative to Guatemala 4, that are potential selection criteria in plant breeding. Extending the duration from sowing to flowering resulted in relatively small gains in stem yield over Guatemala 4, but substantial yield losses were predicted by using an earlier flowering cultivar. Increasing the efficiency of water use (higher transpiration efficiency) greatly increased yield, and was the most risk-efficient crop improvement strategy. Unfortunately, the prospects for improving transpiration efficiency of kenaf by plant breeding remain uncertain. Increasing the amount of water available for crop growth by greater extent of soil water extraction had little effect on yield in this water-limited environment. Changing the yield potential of kenaf by altering the photosynthetic capacity (higher radiation use efficiency) was risk-efficient in some situations, but the mean yield change was relatively small. It is concluded from the simulation analysis, that the standard cultivar Guatemala 4 is well-suited to the NT environment.</t>
  </si>
  <si>
    <t>CSIRO, QDPI, AGR PROD SYST RES UNIT, TOOWOOMBA, QLD 4350, AUSTRALIA</t>
  </si>
  <si>
    <t>Commonwealth Scientific &amp; Industrial Research Organisation (CSIRO)</t>
  </si>
  <si>
    <t>CSIRO, DIV TROP CROPS &amp; PASTURES, CUNNINGHAM LAB, 306 CARMODY RD, ST LUCIA, QLD 4067, AUSTRALIA.</t>
  </si>
  <si>
    <t>Carberry, Peter/B-9768-2008</t>
  </si>
  <si>
    <t>CSIRO PUBLISHING</t>
  </si>
  <si>
    <t>CLAYTON</t>
  </si>
  <si>
    <t>UNIPARK, BLDG 1, LEVEL 1, 195 WELLINGTON RD, LOCKED BAG 10, CLAYTON, VIC 3168, AUSTRALIA</t>
  </si>
  <si>
    <t>0004-9409</t>
  </si>
  <si>
    <t>1836-5795</t>
  </si>
  <si>
    <t>AUST J AGR RES</t>
  </si>
  <si>
    <t>Aust. J. Agric. Res.</t>
  </si>
  <si>
    <t>10.1071/AR9930731</t>
  </si>
  <si>
    <t>KX264</t>
  </si>
  <si>
    <t>WOS:A1993KX26400010</t>
  </si>
  <si>
    <t>Cooper, M; Messina, CD; Podlich, D; Totir, LR; Baumgarten, A; Hausmann, NJ; Wright, D; Graham, G</t>
  </si>
  <si>
    <t>Cooper, Mark; Messina, Carlos D.; Podlich, Dean; Totir, L. Radu; Baumgarten, Andrew; Hausmann, Neil J.; Wright, Deanne; Graham, Geoffrey</t>
  </si>
  <si>
    <t>Predicting the future of plant breeding: complementing empirical evaluation with genetic prediction</t>
  </si>
  <si>
    <t>CROP &amp; PASTURE SCIENCE</t>
  </si>
  <si>
    <t>envirotyping; genetics; genotyping; modeling; phenotyping; physiology; prediction; selection</t>
  </si>
  <si>
    <t>MARKER-ASSISTED SELECTION; GENOTYPE-ENVIRONMENT INTERACTIONS; IMPROVING DROUGHT TOLERANCE; ABIOTIC STRESS TOLERANCE; IMPROVED GRAIN-YIELD; MAIZE HYBRIDS; EXPERIMENTAL-DESIGNS; WHEAT; IMPROVEMENT; STRATEGIES</t>
  </si>
  <si>
    <t>For the foreseeable future, plant breeding methodology will continue to unfold as a practical application of the scaling of quantitative biology. These efforts to increase the effective scale of breeding programs will focus on the immediate and long-term needs of society. The foundations of the quantitative dimension will be integration of quantitative genetics, statistics, gene-to-phenotype knowledge of traits embedded within crop growth and development models. The integration will be enabled by advances in quantitative genetics methodology and computer simulation. The foundations of the biology dimension will be integrated experimental and functional gene-to-phenotype modelling approaches that advance our understanding of functional germplasm diversity, and gene-to-phenotype trait relationships for the native and transgenic variation utilised in agricultural crops. The trait genetic knowledge created will span scales of biology, extending from molecular genetics to multi-trait phenotypes embedded within evolving genotype-environment systems. The outcomes sought and successes achieved by plant breeding will be measured in terms of sustainable improvements in agricultural production of food, feed, fibre, biofuels and other desirable plant products that meet the needs of society. In this review, examples will be drawn primarily from our experience gained through commercial maize breeding. Implications for other crops, in both the private and public sectors, will be discussed.</t>
  </si>
  <si>
    <t>[Cooper, Mark; Messina, Carlos D.; Podlich, Dean; Totir, L. Radu; Baumgarten, Andrew; Hausmann, Neil J.; Wright, Deanne; Graham, Geoffrey] DuPont Pioneer, Johnston, IA 50131 USA</t>
  </si>
  <si>
    <t>DuPont; Pioneer Hi-Bred International, Inc.</t>
  </si>
  <si>
    <t>Cooper, M (corresponding author), DuPont Pioneer, 7250 NW 62nd Ave,POB 552, Johnston, IA 50131 USA.</t>
  </si>
  <si>
    <t>mark.cooper@pioneer.com</t>
  </si>
  <si>
    <t>Cooper, Mark/AAG-8551-2019</t>
  </si>
  <si>
    <t>Messina, Carlos/0000-0002-5501-9281; Cooper, Mark/0000-0002-9418-3359</t>
  </si>
  <si>
    <t>1836-0947</t>
  </si>
  <si>
    <t>CROP PASTURE SCI</t>
  </si>
  <si>
    <t>Crop Pasture Sci.</t>
  </si>
  <si>
    <t>10.1071/CP14007</t>
  </si>
  <si>
    <t>AJ5MG</t>
  </si>
  <si>
    <t>Bronze</t>
  </si>
  <si>
    <t>WOS:000337726700001</t>
  </si>
  <si>
    <t>Werner, CR; Gemenet, DC; Tolhurst, DJ</t>
  </si>
  <si>
    <t>Werner, Christian R.; Gemenet, Dorcus C.; Tolhurst, Daniel J.</t>
  </si>
  <si>
    <t>FieldSimR: an R package for simulating plot data in multi-environment field trials</t>
  </si>
  <si>
    <t>simulation; spatial variation; plot error; multi-environment field trials; linear mixed models</t>
  </si>
  <si>
    <t>SPATIAL-ANALYSIS; MODELS; INFORMATION; SELECTION</t>
  </si>
  <si>
    <t>This paper presents a general framework for simulating plot data in multi-environment field trials with one or more traits. The framework is embedded within the R package FieldSimR, whose core function generates plot errors that capture global field trend, local plot variation, and extraneous variation at a user-defined ratio. FieldSimR's capacity to simulate realistic plot data makes it a flexible and powerful tool for a wide range of improvement processes in plant breeding, such as the optimisation of experimental designs and statistical analyses of multi-environment field trials. FieldSimR provides crucial functionality that is currently missing in other software for simulating plant breeding programmes and is available on CRAN. The paper includes an example simulation of field trials that evaluate 100 maize hybrids for two traits in three environments. To demonstrate FieldSimR's value as an optimisation tool, the simulated data set is then used to compare several popular spatial models for their ability to accurately predict the hybrids' genetic values and reliably estimate the variance parameters of interest. FieldSimR has broader applications to simulating data in other agricultural trials, such as glasshouse experiments.</t>
  </si>
  <si>
    <t>[Werner, Christian R.; Gemenet, Dorcus C.] Consultat Grp Int Agr Res CGIAR, Accelerated Breeding Initiat ABI, Texcoco, Mexico; [Werner, Christian R.; Gemenet, Dorcus C.] Int Maize &amp; Wheat Improvement Ctr CIMMYT, Texcoco, Mexico; [Tolhurst, Daniel J.] Univ Edinburgh, Roslin Inst, Edinburgh, Scotland; [Tolhurst, Daniel J.] Univ Edinburgh, Royal Dick Sch Vet Studies, Edinburgh, Scotland</t>
  </si>
  <si>
    <t>CGIAR; International Maize &amp; Wheat Improvement Center (CIMMYT); University of Edinburgh; UK Research &amp; Innovation (UKRI); Biotechnology and Biological Sciences Research Council (BBSRC); Roslin Institute; University of Edinburgh</t>
  </si>
  <si>
    <t>Werner, CR (corresponding author), Consultat Grp Int Agr Res CGIAR, Accelerated Breeding Initiat ABI, Texcoco, Mexico.;Werner, CR (corresponding author), Int Maize &amp; Wheat Improvement Ctr CIMMYT, Texcoco, Mexico.;Tolhurst, DJ (corresponding author), Univ Edinburgh, Roslin Inst, Edinburgh, Scotland.;Tolhurst, DJ (corresponding author), Univ Edinburgh, Royal Dick Sch Vet Studies, Edinburgh, Scotland.</t>
  </si>
  <si>
    <t>c.werner@cgiar.org; dtolhurs@ed.ac.uk</t>
  </si>
  <si>
    <t>Tolhurst, Daniel/0000-0002-4787-080X; Gemenet, Dorcus/0000-0003-4901-1694</t>
  </si>
  <si>
    <t>Bill and Melinda Gates Foundation10.13039/100000865</t>
  </si>
  <si>
    <t>The authors thank Chris Gaynor, Giovanny Covarrubias, and Lorena Batista for their initial feedback on the FieldSimR package.</t>
  </si>
  <si>
    <t>APR 4</t>
  </si>
  <si>
    <t>10.3389/fpls.2024.1330574</t>
  </si>
  <si>
    <t>OA8O5</t>
  </si>
  <si>
    <t>WOS:001204632400001</t>
  </si>
  <si>
    <t>Vanavermaete, D; Fostier, J; Maenhout, S; De Baets, B</t>
  </si>
  <si>
    <t>Vanavermaete, David; Fostier, Jan; Maenhout, Steven; De Baets, Bernard</t>
  </si>
  <si>
    <t>Adaptive scoping: balancing short- and long-term genetic gain in plant breeding</t>
  </si>
  <si>
    <t>Genetic gain; Genetic selection; Genetic variation; Genetic value; Scoping; Plant breeding; Simulation study</t>
  </si>
  <si>
    <t>SELECTION; PREDICTION</t>
  </si>
  <si>
    <t>Truncation selection is often used to rapidly achieve short-term genetic gain within a breeding program. Unfortunately, it is also associated with the loss of favorable QTL alleles in the breeding population, causing a premature convergence to sub-optimal genetic values. Parental selection strategies such as the scoping method, the population merit method, and optimal cross selection have been proposed to preserve genetic variation in the breeding population and thus maximize genetic gain in the long term. Nevertheless, for economic reasons, breeders are often interested to maximize the genetic gain in a shorter time frame. We propose a new selection strategy, named the adaptive scoping method, that aims at maximizing the genetic gain within a specific, predefined time frame. Throughout this time frame, the adaptive scoping method progressively changes its selection strategy: during the initial breeding cycles, it attempts to maximally preserve genetic variation, whereas in later breeding cycles, it prioritizes the increase of the genetic value. We demonstrate through simulation studies that the adaptive scoping method is able to maximize the genetic gain for a wide range of time frames and that it outperforms the original scoping method, both in the short and in the long term.</t>
  </si>
  <si>
    <t>[Vanavermaete, David; De Baets, Bernard] Univ Ghent, Dept Data Anal &amp; Math Modelling, KERMIT, B-9000 Ghent, Belgium; [Fostier, Jan] Univ Ghent, IMEC, IDLab, Dept Informat Technol, B-9052 Ghent, Belgium; [Maenhout, Steven] Univ Ghent, Dept Plants &amp; Crops, Predict Breeding, B-9000 Ghent, Belgium</t>
  </si>
  <si>
    <t>Ghent University; Ghent University; Interuniversity Microelectronics Centre; Ghent University</t>
  </si>
  <si>
    <t>Vanavermaete, D (corresponding author), Univ Ghent, Dept Data Anal &amp; Math Modelling, KERMIT, B-9000 Ghent, Belgium.</t>
  </si>
  <si>
    <t>david.vanavermaete@ugent.be</t>
  </si>
  <si>
    <t>De Baets, Bernard/E-8877-2010; Vanavermaete, David/AGC-9563-2022; Fostier, Jan/A-8275-2012</t>
  </si>
  <si>
    <t>Vanavermaete, David/0000-0002-2087-9062</t>
  </si>
  <si>
    <t>Ghent University</t>
  </si>
  <si>
    <t>Ghent University(Ghent University)</t>
  </si>
  <si>
    <t>Funding was provided by Ghent University.</t>
  </si>
  <si>
    <t>1573-5060</t>
  </si>
  <si>
    <t>10.1007/s10681-022-03065-1</t>
  </si>
  <si>
    <t>3D1BE</t>
  </si>
  <si>
    <t>WOS:000829045200003</t>
  </si>
  <si>
    <t>Hammer, GL; van Oosterom, E; McLean, G; Chapman, SC; Broad, I; Harland, P; Muchow, RC</t>
  </si>
  <si>
    <t>Hammer, Graeme L.; van Oosterom, Erik; McLean, Greg; Chapman, Scott C.; Broad, Ian; Harland, Peter; Muchow, Russell C.</t>
  </si>
  <si>
    <t>Adapting APSIM to model the physiology and genetics of complex adaptive traits in field crops</t>
  </si>
  <si>
    <t>JOURNAL OF EXPERIMENTAL BOTANY</t>
  </si>
  <si>
    <t>APSIM; crop model; emergent property; gene-to-phenotype; sorghum; height; nitrogen; plant breeding; RUE; senescence</t>
  </si>
  <si>
    <t>RADIATION USE EFFICIENCY; ROOT ARCHITECTURAL TRAITS; REPLANTING GRAIN-SORGHUM; WHEAT TRITICUM-AESTIVUM; LEAF-AREA DYNAMICS; ENVIRONMENT INTERACTIONS; WHOLE-PLANT; NITROGEN DISTRIBUTION; DEVELOPING GUIDELINES; SYSTEM ARCHITECTURE</t>
  </si>
  <si>
    <t>Progress in molecular plant breeding is limited by the ability to predict plant phenotype based on its genotype, especially for complex adaptive traits. Suitably constructed crop growth and development models have the potential to bridge this predictability gap. A generic cereal crop growth and development model is outlined here. It is designed to exhibit reliable predictive skill at the crop level while also introducing sufficient physiological rigour for complex phenotypic responses to become emergent properties of the model dynamics. The approach quantifies capture and use of radiation, water, and nitrogen within a framework that predicts the realized growth of major organs based on their potential and whether the supply of carbohydrate and nitrogen can satisfy that potential. The model builds on existing approaches within the APSIM software platform. Experiments on diverse genotypes of sorghum that underpin the development and testing of the adapted crop model are detailed. Genotypes differing in height were found to differ in biomass partitioning among organs and a tall hybrid had significantly increased radiation use efficiency: a novel finding in sorghum. Introducing these genetic effects associated with plant height into the model generated emergent simulated phenotypic differences in green leaf area retention during grain filling via effects associated with nitrogen dynamics. The relevance to plant breeding of this capability in complex trait dissection and simulation is discussed.</t>
  </si>
  <si>
    <t>[Hammer, Graeme L.; van Oosterom, Erik] Univ Queensland, Sch Land Crop &amp; Food Sci, Brisbane, Qld 4072, Australia; [McLean, Greg; Broad, Ian] Agri Sci Queensland, Dept Employment Econ Dev &amp; Innovat, Toowoomba, Qld 4350, Australia; [Chapman, Scott C.] Queensland Biosci Precinct, CSIRO Plant Ind, St Lucia, Qld 4067, Australia; [Harland, Peter; Muchow, Russell C.] CSIRO Sustainable Ecosyst, St Lucia, Qld 4067, Australia</t>
  </si>
  <si>
    <t>University of Queensland; Queensland Department of Agriculture &amp; Fisheries; Commonwealth Scientific &amp; Industrial Research Organisation (CSIRO); Commonwealth Scientific &amp; Industrial Research Organisation (CSIRO)</t>
  </si>
  <si>
    <t>Hammer, GL (corresponding author), Univ Queensland, Sch Land Crop &amp; Food Sci, Brisbane, Qld 4072, Australia.</t>
  </si>
  <si>
    <t>g.hammer@uq.edu.au</t>
  </si>
  <si>
    <t>McLean, Greg/AAE-9842-2021; Chapman, Scott/B-9673-2008; Hammer, Graeme/A-3785-2008; McLean, Gregory/Q-9103-2017</t>
  </si>
  <si>
    <t>Van Oosterom, Erik/0000-0003-4886-4038; Chapman, Scott/0000-0003-4732-8452; Hammer, Graeme/0000-0002-1180-7374; McLean, Gregory/0000-0002-8491-2984</t>
  </si>
  <si>
    <t>Australian Centre for International Agricultural Research; Australian Grains Research and Development Corporation; Australian Research Council</t>
  </si>
  <si>
    <t>Australian Centre for International Agricultural Research(Australian Centre for International Agricultural Research); Australian Grains Research and Development Corporation(Grains R&amp;D Corp); Australian Research Council(Australian Research Council)</t>
  </si>
  <si>
    <t>This research was supported by grants from the Australian Centre for International Agricultural Research, the Australian Grains Research and Development Corporation, and the Australian Research Council. We thank Alison Kelly for assistance with statistical analyses, Douglas Lush for assistance with figures, and Al Doherty for the source code viewing tools. The constructive criticisms of an earlier version of this paper by anonymous reviewers and Dr Karine Chenu were much appreciated.</t>
  </si>
  <si>
    <t>OXFORD UNIV PRESS</t>
  </si>
  <si>
    <t>OXFORD</t>
  </si>
  <si>
    <t>GREAT CLARENDON ST, OXFORD OX2 6DP, ENGLAND</t>
  </si>
  <si>
    <t>0022-0957</t>
  </si>
  <si>
    <t>1460-2431</t>
  </si>
  <si>
    <t>J EXP BOT</t>
  </si>
  <si>
    <t>J. Exp. Bot.</t>
  </si>
  <si>
    <t>10.1093/jxb/erq095</t>
  </si>
  <si>
    <t>600LL</t>
  </si>
  <si>
    <t>Green Submitted, Bronze</t>
  </si>
  <si>
    <t>WOS:000277987500012</t>
  </si>
  <si>
    <t>Estaghvirou, SBO; Ogutu, JO; Piepho, HP</t>
  </si>
  <si>
    <t>Estaghvirou, Sidi Boubacar Ould; Ogutu, Joseph O.; Piepho, Hans-Peter</t>
  </si>
  <si>
    <t>Influence of Outliers on Accuracy Estimation in Genomic Prediction in Plant Breeding</t>
  </si>
  <si>
    <t>G3-GENES GENOMES GENETICS</t>
  </si>
  <si>
    <t>accuracy estimation; genomic prediction; outliers; predictive accuracy; heritability; GenPred; shared data resource</t>
  </si>
  <si>
    <t>GENOMEWIDE SELECTION; RIDGE-REGRESSION; STAGE</t>
  </si>
  <si>
    <t>Outliers often pose problems in analyses of data in plant breeding, but their influence on the performance of methods for estimating predictive accuracy in genomic prediction studies has not yet been evaluated. Here, we evaluate the influence of outliers on the performance of methods for accuracy estimation in genomic prediction studies using simulation. We simulated 1000 datasets for each of 10 scenarios to evaluate the influence of outliers on the performance of seven methods for estimating accuracy. These scenarios are defined by the number of genotypes, marker effect variance, and magnitude of outliers. To mimic outliers, we added to one observation in each simulated dataset, in turn, 5-, 8-, and 10-times the error SD used to simulate small and large phenotypic datasets. The effect of outliers on accuracy estimation was evaluated by comparing deviations in the estimated and true accuracies for datasets with and without outliers. Outliers adversely influenced accuracy estimation, more so at small values of genetic variance or number of genotypes. A method for estimating heritability and predictive accuracy in plant breeding and another used to estimate accuracy in animal breeding were the most accurate and resistant to outliers across all scenarios and are therefore preferable for accuracy estimation in genomic prediction studies. The performances of the other five methods that use cross-validation were less consistent and varied widely across scenarios. The computing time for the methods increased as the size of outliers and sample size increased and the genetic variance decreased.</t>
  </si>
  <si>
    <t>[Estaghvirou, Sidi Boubacar Ould; Ogutu, Joseph O.; Piepho, Hans-Peter] Univ Hohenheim, Inst Crop Sci, Biostat Unit, D-70599 Stuttgart, Germany</t>
  </si>
  <si>
    <t>Ogutu, JO (corresponding author), Fruwirthstr 23, D-70599 Stuttgart, Germany.</t>
  </si>
  <si>
    <t>jogutu2007@gmail.com</t>
  </si>
  <si>
    <t>Piepho, Hans-Peter/0000-0001-7813-2992; Ogutu, Joseph O/0000-0002-7379-0387</t>
  </si>
  <si>
    <t>KWS SAAT AG; AgReliant Genetics; German Federal Ministry of Education and Research (Bonn, Germany) within AgroClusterEr Synbreed-Synergistic plant and animal breeding [0315526]</t>
  </si>
  <si>
    <t>KWS SAAT AG; AgReliant Genetics; German Federal Ministry of Education and Research (Bonn, Germany) within AgroClusterEr Synbreed-Synergistic plant and animal breeding</t>
  </si>
  <si>
    <t>We thank the Associate Editor and an anonymous reviewer for suggestions and comments that led to improvements in the clarity of the presentation. We thank AgReliant and KWS for providing the datasets used in this paper. This research was funded by KWS SAAT AG, AgReliant Genetics and the German Federal Ministry of Education and Research (Bonn, Germany) within the AgroClusterEr Synbreed-Synergistic plant and animal breeding (Grant ID: 0315526). The authors declare that they have no competing interests. S.B.O.E. and J.O.O. participated in the design of the study, conducted the simulations, interpreted the results, and drafted and edited the manuscript. H.P.P. participated in conceiving the study and its design and contributed to editing the manuscript.</t>
  </si>
  <si>
    <t>OXFORD UNIV PRESS INC</t>
  </si>
  <si>
    <t>CARY</t>
  </si>
  <si>
    <t>JOURNALS DEPT, 2001 EVANS RD, CARY, NC 27513 USA</t>
  </si>
  <si>
    <t>2160-1836</t>
  </si>
  <si>
    <t>G3-GENES GENOM GENET</t>
  </si>
  <si>
    <t>G3-Genes Genomes Genet.</t>
  </si>
  <si>
    <t>DEC 1</t>
  </si>
  <si>
    <t>10.1534/g3.114.011957/-/DC1</t>
  </si>
  <si>
    <t>AW5WJ</t>
  </si>
  <si>
    <t>WOS:000346341500003</t>
  </si>
  <si>
    <t>Hickey, JM; Dreisigacker, S; Crossa, J; Hearne, S; Babu, R; Prasanna, BM; Grondona, M; Zambelli, A; Windhausen, VS; Mathews, K; Gorjanc, G</t>
  </si>
  <si>
    <t>Hickey, John M.; Dreisigacker, Susanne; Crossa, Jose; Hearne, Sarah; Babu, Raman; Prasanna, Boddupalli M.; Grondona, Martin; Zambelli, Andres; Windhausen, Vanessa S.; Mathews, Ky; Gorjanc, Gregor</t>
  </si>
  <si>
    <t>Evaluation of Genomic Selection Training Population Designs and Genotyping Strategies in Plant Breeding Programs Using Simulation</t>
  </si>
  <si>
    <t>GENOMEWIDE SELECTION; QUANTITATIVE TRAITS; PREDICTION; MAIZE; INFORMATION; IMPUTATION; REGRESSION; PROSPECTS; ACCURACY; VALUES</t>
  </si>
  <si>
    <t>Genomic selection offers great potential for increasing the rate of genetic improvement in plant breeding programs. This research used simulation to evaluate the effectiveness of different strategies for genotyping and phenotyping to enable genomic selection in early generation individuals (e.g., F-2) in breeding programs involving biparental or similar (e. ., backcross or top cross) populations. By using phenotypes that were previously collected in other biparental populations, selection decisions could be made without waiting for phenotypes that pertain directly to the selection candidate to be collected, a process that would take at least three growing seasons. If these phenotypes were collected in biparental populations that were closely related to the selection candidates, only a small number of markers (e.g., 200-500) and a small number of phenotypes (e.g., 1000) were needed to achieve effective accuracy of estimated breeding values. If these phenotypes were collected in biparental populations that were not closely related to the selection candidates, as many as 10,000 markers and 5000 to 20,000 phenotypes were needed. Increasing marker density beyond 10,000 markers did not show benefit and in some scenarios reduced the accuracy of prediction. This study provides a guide, enabling resource allocation to be optimized between genotyping and phenotyping investment dependent on the population under development.</t>
  </si>
  <si>
    <t>[Hickey, John M.] Univ Edinburgh, Roslin Inst, Easter Bush Res Ctr, Roslin EH25 9RG, Midlothian, Scotland; [Hickey, John M.] Univ Edinburgh, Royal Dick Sch Vet Studies, Easter Bush Res Ctr, Roslin EH25 9RG, Midlothian, Scotland; [Dreisigacker, Susanne] Int Maize &amp; Wheat Improvement Ctr CIMMYT, Global Wheat Program, Mexico City 06600, DF, Mexico; [Crossa, Jose; Mathews, Ky] Int Maize &amp; Wheat Improvement Ctr CIMMYT, Biometr &amp; Stat Unit, Mexico City 06600, DF, Mexico; [Hearne, Sarah] Int Maize &amp; Wheat Improvement Ctr CIMMYT, Genet Resources Program, Mexico City 06600, DF, Mexico; [Babu, Raman; Prasanna, Boddupalli M.] Int Maize &amp; Wheat Improvement Ctr CIMMYT, Global Maize Program, Mexico City 06600, DF, Mexico; [Grondona, Martin; Zambelli, Andres] Advanta Semillas, Biotechnol Res Ctr, RA-7620 Balcarce, Argentina; [Windhausen, Vanessa S.] Saaten Union Rech, F-60190 Estrees St Denis, France; [Gorjanc, Gregor] Univ Ljubljana, Biotech Fac, Domzale, Slovenia</t>
  </si>
  <si>
    <t>University of Edinburgh; UK Research &amp; Innovation (UKRI); Biotechnology and Biological Sciences Research Council (BBSRC); Roslin Institute; University of Edinburgh; CGIAR; International Maize &amp; Wheat Improvement Center (CIMMYT); CGIAR; International Maize &amp; Wheat Improvement Center (CIMMYT); CGIAR; International Maize &amp; Wheat Improvement Center (CIMMYT); CGIAR; International Maize &amp; Wheat Improvement Center (CIMMYT); University of Ljubljana</t>
  </si>
  <si>
    <t>Hickey, JM (corresponding author), Univ Edinburgh, Roslin Inst, Easter Bush Res Ctr, Roslin EH25 9RG, Midlothian, Scotland.</t>
  </si>
  <si>
    <t>john.hickey@roslin.ed.ac.uk</t>
  </si>
  <si>
    <t>Crossa, Jose/AAE-7898-2019; Gorjanc, Gregor/D-3684-2014; Mathews, Ky/C-3307-2018</t>
  </si>
  <si>
    <t>Gorjanc, Gregor/0000-0001-8008-2787; Mathews, Ky/0000-0003-3664-1320; Boddupalli, Prasanna/0000-0002-5761-2273; Hearne, Sarah/0000-0003-2015-2450; Zambelli, Andres/0000-0003-2057-4653; Crossa, Jose/0000-0001-9429-5855</t>
  </si>
  <si>
    <t>CIMMYT; Seeds of Discovery; Maize CRP; Wheat CRP; Advanta Semillas</t>
  </si>
  <si>
    <t>CIMMYT(CGIAR); Seeds of Discovery; Maize CRP; Wheat CRP; Advanta Semillas</t>
  </si>
  <si>
    <t>This work was funded by CIMMYT, Seeds of Discovery, the Maize CRP, the Wheat CRP, and Advanta Semillas. Kevin Pixley is acknowledged for his reading and making useful suggestions about an earlier draft of this paper.</t>
  </si>
  <si>
    <t>JUL-AUG</t>
  </si>
  <si>
    <t>10.2135/cropsci2013.03.0195</t>
  </si>
  <si>
    <t>AK9UK</t>
  </si>
  <si>
    <t>hybrid</t>
  </si>
  <si>
    <t>WOS:000338773100018</t>
  </si>
  <si>
    <t>Aggarwal, PK; Kropff, MJ; Teng, PS; Khush, GS</t>
  </si>
  <si>
    <t>Kropff, MJ; Teng, PS; Aggarwal, PK; Bouman, BAM; Jones, JW; vanLaar, HH</t>
  </si>
  <si>
    <t>The challenge of integrating systems approach in plant breeding: Opportunities, accomplishments and limitations</t>
  </si>
  <si>
    <t>APPLICATIONS OF SYSTEMS APPROACHES AT THE FIELD LEVEL: PROCEEDINGS OF THE SECOND INTERNATIONAL SYMPOSIUM ON SYSTEMS APPROACHES FOR AGRICULTURAL DEVELOPMENT, VOL 2</t>
  </si>
  <si>
    <t>SYSTEMS APPROACHES FOR SUSTAINABLE AGRICULTURAL DEVELOPMENT</t>
  </si>
  <si>
    <t>2nd International Symposium on Systems Approaches for Agricultural Development - Applications of Systems Approaches at the Field Level</t>
  </si>
  <si>
    <t>DEC 06-08, 1995</t>
  </si>
  <si>
    <t>INT RICE RES INST, LOS BANOS, PHILIPPINES</t>
  </si>
  <si>
    <t>Int Rice Res Inst,Int Consortium Agr Syst Applicat,Simulat &amp; Syst Anal Rice Prod Project</t>
  </si>
  <si>
    <t>INT RICE RES INST</t>
  </si>
  <si>
    <t>plant breeding; simulation; models; plant type; GxE; hybrids; yield potential</t>
  </si>
  <si>
    <t>Plant breeders face enormous challenges in the coming decades to greatly increase food production with less land and higher input use efficiency, Crop breeding has to be more knowledge-intensive and should integrate information from related disciplines to achieve this goal. Systems tools, such as crop simulation models, data bases, geographical information systems (GIS), and optimization and risk analysis techniques, facilitate integration of the effects of climatic, edaphic, management, biotic and socioeconomic factors on crop growth, productivity, and profitability. These tools provide us with an opportunity to accelerate the use of interdisciplinary knowledge in crop breeding. They are useful for evaluating hypotheses and setting breeding goals for different physiological traits in various agroenvironments, using historical weather data and techniques of risk analysis. Physiologically sound models may also assist in extrapolating the performance of a crop population from one site to another, in reducing the number of locations in varietal evaluation programmes, and in describing why a particular variety does not perform well in all locations. They can also play a significant role in determining strategies for minimizing damage to germplasm caused by various pests in different regions. Alternatively, simulation models can assess the relative performance of plant types in scenarios involving various levels of pest infestations in different agroecosystems. In this paper, we discuss the expectations of plant breeders from crop physiology and modelling and explore the opportunities offered by the systems approach, review some case studies, assess limitations on the use of models in breeding, and finally comment on future needs.</t>
  </si>
  <si>
    <t>INT RICE RES INST, POB 933, MANILA 1099, PHILIPPINES.</t>
  </si>
  <si>
    <t>Kropff, Martinus/L-4931-2017; Khush, Gurdev/C-5109-2009</t>
  </si>
  <si>
    <t>PO BOX 17, 3300 AA DORDRECHT, NETHERLANDS</t>
  </si>
  <si>
    <t>0928-9526</t>
  </si>
  <si>
    <t>0-7923-4286-0</t>
  </si>
  <si>
    <t>SYST APPR S</t>
  </si>
  <si>
    <t>Syst. Approaches Sustain. Agric. Dev.</t>
  </si>
  <si>
    <t>BH23W</t>
  </si>
  <si>
    <t>WOS:A1997BH23W00001</t>
  </si>
  <si>
    <t>Haiminen, N; Utro, F; Lebreton, C; Flament, P; Karaman, Z; Parida, L</t>
  </si>
  <si>
    <t>Haiminen, Niina; Utro, Filippo; Lebreton, Claude; Flament, Pascal; Karaman, Zivan; Parida, Laxmi</t>
  </si>
  <si>
    <t>Efficient in silico Chromosomal Representation of Populations via Indexing Ancestral Genomes</t>
  </si>
  <si>
    <t>ALGORITHMS</t>
  </si>
  <si>
    <t>genome representation; phenotype computation; plant breeding; population simulation; segment</t>
  </si>
  <si>
    <t>SIMULATION; SELECTION; MARKERS; HISTORY</t>
  </si>
  <si>
    <t>One of the major challenges in handling realistic forward simulations for plant and animal breeding is the sheer number of markers. Due to advancing technologies, the requirement has quickly grown from hundreds of markers to millions. Most simulators are lagging behind in handling these sizes, since they do not scale well. We present a scheme for representing and manipulating such realistic size genomes, without any loss of information. Usually, the simulation is forward and over tens to hundreds of generations with hundreds of thousands of individuals at each generation. We demonstrate through simulations that our representation can be two orders of magnitude faster and handle at least two orders of magnitude more markers than existing software on realistic breeding scenarios</t>
  </si>
  <si>
    <t>[Haiminen, Niina; Utro, Filippo; Parida, Laxmi] IBM TJ Watson Res, Computat Biol Ctr, Yorktown Hts, NY 10598 USA; [Lebreton, Claude; Flament, Pascal; Karaman, Zivan] Limagrain Europe, Ctr Rech Chappes, CS 3911, F-63720 Chappes, France</t>
  </si>
  <si>
    <t>International Business Machines (IBM); IBM USA</t>
  </si>
  <si>
    <t>Parida, L (corresponding author), IBM TJ Watson Res, Computat Biol Ctr, Yorktown Hts, NY 10598 USA.</t>
  </si>
  <si>
    <t>nshaimin@us.ibm.com; futro@us.ibm.com; claude.lebreton@limagrain.com; pascal.flament@limagrain.com; zivan.karaman@limagrain.com; parida@us.ibm.com</t>
  </si>
  <si>
    <t>; Haiminen, Niina/AAU-3068-2020</t>
  </si>
  <si>
    <t>Karaman, Zivan/0000-0002-8933-4589; Haiminen, Niina/0000-0002-8663-1019; Utro, Filippo/0000-0003-3226-7642</t>
  </si>
  <si>
    <t>MDPI</t>
  </si>
  <si>
    <t>ST ALBAN-ANLAGE 66, CH-4052 BASEL, SWITZERLAND</t>
  </si>
  <si>
    <t>1999-4893</t>
  </si>
  <si>
    <t>Algorithms</t>
  </si>
  <si>
    <t>SEP</t>
  </si>
  <si>
    <t>10.3390/a6030430</t>
  </si>
  <si>
    <t>V09MY</t>
  </si>
  <si>
    <t>gold, Green Submitted</t>
  </si>
  <si>
    <t>WOS:000214148300004</t>
  </si>
  <si>
    <t>Karadag, Ö</t>
  </si>
  <si>
    <t>Karadag, Ozge</t>
  </si>
  <si>
    <t>A multivariate heterogeneous variance components model for multi-environment studies with locational genetic effects</t>
  </si>
  <si>
    <t>SOFT COMPUTING</t>
  </si>
  <si>
    <t>Multivariate variance components; Mixed modelling; Genetic variance components; Location effect; Heritability</t>
  </si>
  <si>
    <t>AVERAGE INFORMATION REML; PRINCIPAL COMPONENT; EFFICIENT ALGORITHM</t>
  </si>
  <si>
    <t>In this paper, a multivariate heterogeneous variance components model was developed which allows for determination of location specific variance components in the analysis of multiple related traits. In addition to spatial heterogeneity, genetic similarities are also considered by assigning genetic variance components. The performance of the developed model was evaluated through an extensive simulation study and comparison of models was conducted by heritability estimations. The simulation study reveals that the developed method can control the locational heterogeneity well and the heritability estimations are close to desired proportions for the developed model. A real plant breeding data set was used for illustration.</t>
  </si>
  <si>
    <t>[Karadag, Ozge] Hacettepe Univ, Dept Stat, TR-06800 Ankara, Turkey</t>
  </si>
  <si>
    <t>Hacettepe University</t>
  </si>
  <si>
    <t>Karadag, Ö (corresponding author), Hacettepe Univ, Dept Stat, TR-06800 Ankara, Turkey.</t>
  </si>
  <si>
    <t>ozgekaradag@hacettepe.edu.tr</t>
  </si>
  <si>
    <t>1432-7643</t>
  </si>
  <si>
    <t>1433-7479</t>
  </si>
  <si>
    <t>SOFT COMPUT</t>
  </si>
  <si>
    <t>Soft Comput.</t>
  </si>
  <si>
    <t>10.1007/s00500-021-06132-2</t>
  </si>
  <si>
    <t>AUG 2021</t>
  </si>
  <si>
    <t>WG2CR</t>
  </si>
  <si>
    <t>WOS:000687512200007</t>
  </si>
  <si>
    <t>Isla, R; Aragüés, R; Royo, A</t>
  </si>
  <si>
    <t>Spatial variability of salt-affected soils in the middle Ebro Valley (Spain) and implications in plant breeding for increased productivity</t>
  </si>
  <si>
    <t>barley; durum wheat; plant breeding; salinity tolerance; soil salinity; spatial variability</t>
  </si>
  <si>
    <t>YIELD RESPONSE FUNCTIONS; BARLEY CULTIVARS; TOLERANCE; SPRINKLER</t>
  </si>
  <si>
    <t>The assessment of the level and spatial variability of soil salinity and the knowledge of the salinity-yield response functions of crops are required to ascertain the best management strategies aimed at optimizing crop's productivity in saline environments. This work analyzed the spatial distribution of ECe in six irrigated, salt-affected fields of the middle Ebro River Valley (Spain) using electromagnetic survey and geostatistical techniques, and the implications of this salinity variability in plant breeding strategies for increased productivity. The average field ECe varied between 4.9 and 15.4 dS m(-1), with within-field coefficients of variation between 37 and 79%. The yield simulation analysis of 20 barley and durum wheat cultivars showed that almost 60% of the total yield came from the less saline areas (ECe &lt; 6 dS m(-1)). The model-estimate Ym (maximum yield under non-saline conditions) and the simulated yields were significantly correlated (p &lt; 0.01) in ten out of the twelve analysis performed. Thus, the best strategy for increasing the productivity in moderately salt-affected soils (average field ECe between 5 and 7 dS m(-1)) of the middle Ebro Valley is to breed and grow high potential yielding barley and durum wheat cultivars. On the other hand, breeding for increased productivity in highly salinized soils (average field ECe around 15 dS m(-1)) should be based, at least at the parental line's selection stage, on the combination index B (ECe50 Ym 10(-3)) which takes into account both the potential yield and the salinity tolerance of crops.</t>
  </si>
  <si>
    <t>Diputac Gen Aragon, Serv Invest Agroalimentaria, Unidad Suelos &amp; Riegos, Zaragoza 50080, Spain; CSIC, DGA, Lab Agron &amp; Medio Ambiente, Zaragoza 50080, Spain</t>
  </si>
  <si>
    <t>Consejo Superior de Investigaciones Cientificas (CSIC)</t>
  </si>
  <si>
    <t>Diputac Gen Aragon, Serv Invest Agroalimentaria, Unidad Suelos &amp; Riegos, Apdo 727, Zaragoza 50080, Spain.</t>
  </si>
  <si>
    <t>risla@aragob.es</t>
  </si>
  <si>
    <t>Aragues, Ramon/C-5872-2012</t>
  </si>
  <si>
    <t>Isla, Ramon/0000-0001-8913-853X</t>
  </si>
  <si>
    <t>10.1023/B:EUPH.0000004988.25257.91</t>
  </si>
  <si>
    <t>746EH</t>
  </si>
  <si>
    <t>WOS:000186733600010</t>
  </si>
  <si>
    <t>Robertson, MJ; Rebetzke, GJ; Norton, RM</t>
  </si>
  <si>
    <t>Robertson, M. J.; Rebetzke, G. J.; Norton, R. M.</t>
  </si>
  <si>
    <t>Assessing the place and role of crop simulation modelling in Australia</t>
  </si>
  <si>
    <t>APSIM; decision support system; genetics; phenology; physiology; soils</t>
  </si>
  <si>
    <t>HIGH-RAINFALL ZONE; DECISION-SUPPORT SYSTEM; SOUTH-EASTERN AUSTRALIA; OPTIMIZING GRAIN-YIELD; TRITICUM-AESTIVUM L.; WATER-USE EFFICIENCY; WHEAT YIELD; SOIL-WATER; ENVIRONMENT INTERACTIONS; MEDITERRANEAN CLIMATE</t>
  </si>
  <si>
    <t>Computer-based crop simulation models (CSMs) are well entrenched as tools for a wide variety of research, development and extension applications. Despite this, critics remain and there are perceptions that CSMs have not contributed to impacts on-farm or in the research community, particularly with plant breeding. This study reviewed the literature, interviewed 45 stakeholders (modellers, institutional representatives and clients of modelling), and analysed the industry-funded project portfolio to ascertain the current state of use of CSMs in the grains industry in Australia, including scientific progress, impacts and development needs. We found that CSMs in Australia are widely used, with similar to 100 active and independent users, similar to 15 model developers, and at any one time similar to 10 postgraduate students, chiefly across six public research institutions. The dominant platform used is APSIM (Agricultural Production Systems Simulator). It is widely used in the agronomic domain. Several cases were documented where CSM use had a demonstrable impact on farm and research practice. The updating of both plant and soil process routines in the models has slowed and even stalled in recent years, and scientific limitations to future use were identified: the soil-plant nitrogen cycle, root growth and function, soil surface water and residue dynamics, impact of temperature extremes on plant function, and up-to-date cultivar parameter sets. There was a widespread appreciation of and optimism for the potential of CSMs to assist with plant-breeding activities, such as environmental characterisation, trait assessment, and design of plant-breeding programs. However, we found little evidence of models or model output being used by plant breeders in Australia, despite significant impacts that have emerged recently in larger international breeding programs. Closer cooperation between geneticists, physiologists and breeders will allow gene-based approaches to characterise and parameterise cultivars in CSMs, demonstrated by recent progress with phenology in wheat. This will give models the ability to deal with a wider range of potential genotypexenvironmentxmanagement scenarios.</t>
  </si>
  <si>
    <t>[Robertson, M. J.; Rebetzke, G. J.] CSIRO, Agr Flagship, Bentley, WA, Australia; [Norton, R. M.] Int Plant Nutr Inst, Horsham, Vic 3400, Australia</t>
  </si>
  <si>
    <t>Robertson, MJ (corresponding author), CSIRO, Agr Flagship, Bentley, WA, Australia.</t>
  </si>
  <si>
    <t>michael.robertson@csiro.au</t>
  </si>
  <si>
    <t>Robertson, Michael/G-1418-2010; Rebetzke, Greg/F-6078-2010</t>
  </si>
  <si>
    <t>Rebetzke, Greg/0000-0001-7404-0046; Robertson, Michael/0000-0003-2905-4347</t>
  </si>
  <si>
    <t>Grains Research and Development Corporation</t>
  </si>
  <si>
    <t>Grains Research and Development Corporation(Grains R&amp;D Corp)</t>
  </si>
  <si>
    <t>This work was fully funded by the Grains Research and Development Corporation. We are grateful to, acknowledge and thank the numerous scientists and groups who gave up their time to provide thoughtful feedback through the completion of surveys and/or the undertaking of face-to-face interviews. This study was cleared in accordance with the ethical review processes of CSIRO, within the guidelines of the National Statement on Ethical Conduct in Human Research.</t>
  </si>
  <si>
    <t>10.1071/CP14361</t>
  </si>
  <si>
    <t>CQ9XD</t>
  </si>
  <si>
    <t>WOS:000360967800001</t>
  </si>
  <si>
    <t>Cooper, M; Podlich, DW; Micallef, KP</t>
  </si>
  <si>
    <t>Spangenberg, GC</t>
  </si>
  <si>
    <t>Modelling plant breeding programs: Applications to forage crops</t>
  </si>
  <si>
    <t>MOLECULAR BREEDING OF FORAGE CROPS</t>
  </si>
  <si>
    <t>DEVELOPMENTS IN PLANT BREEDING</t>
  </si>
  <si>
    <t>2nd International Symposium on Molecular Breeding of Forage Crops</t>
  </si>
  <si>
    <t>NOV 19-24, 2000</t>
  </si>
  <si>
    <t>LORNE, AUSTRALIA</t>
  </si>
  <si>
    <t>Nat Resources &amp; Environm,Australian Cooperat Res Ctr Molec Plant Breeding,Dairy Res &amp; Dev Corp,Heritage Seeds Pty Ltd,Appl Biosyst,AgResearch Ltd,Qiagen,Qiagen Genomics,Genset Pacific,Adv Labs,Seedco</t>
  </si>
  <si>
    <t>prediction; computer simulation; complexity; epistasis; genotype-by-environment (GxE) interactions; genomics; marker-assisted selection (MAS); transgenics</t>
  </si>
  <si>
    <t>Breeding programs operate to bring about changes in the combinations of genes within individuals and populations. The ease with which this is achieved depends on the complexity of the genetic control of variation for the target traits. Molecular biology has introduced new tools to facilitate this process. Quantitative genetics theory provides a framework for modelling the effects of genes within populations. This often requires a number of simplifying assumptions (e.g. no epistasis, many genes each with relatively small and similar effects, linkage equilibrium in the reference population). Using this approach, prediction equations of expected response to selection have been constructed for a range of genetic models and breeding strategies. Molecular tools have progressed our understanding to the stage where we are now able to develop specific genetic models to describe the architecture of some target traits. In some cases this suggests a need to relax a number of the simplifying assumptions we have previously made in the theoretical models. Removing these assumptions complicates the construction of prediction equations. To complement the classical quantitative modelling and prediction approaches used in genetics, computer simulation models of plant breeding programs can be developed to capture in silico many of the features that are specific to a breeding program and the genetic variation with which they work. With the progress that has been made in computer hardware and software, these simulation-based models enable quantification of the efficiency of breeding strategies for genetic models that range from simple to complex. An example evaluating the efficiency of marker assisted selection strategies for a half-sib recurrent selection breeding strategy is discussed.</t>
  </si>
  <si>
    <t>Univ Queensland, Sch Land &amp; Food Sci, Brisbane, Qld 4072, Australia</t>
  </si>
  <si>
    <t>Cooper, M (corresponding author), Univ Queensland, Sch Land &amp; Food Sci, Brisbane, Qld 4072, Australia.</t>
  </si>
  <si>
    <t>0-7923-6881-9</t>
  </si>
  <si>
    <t>DEV PLANT BREED</t>
  </si>
  <si>
    <t>BS43U</t>
  </si>
  <si>
    <t>WOS:000169858400005</t>
  </si>
  <si>
    <t>Yabe, S; Iwata, H; Jannink, JL</t>
  </si>
  <si>
    <t>Yabe, Shiori; Iwata, Hiroyoshi; Jannink, Jean-Luc</t>
  </si>
  <si>
    <t>Impact of Mislabeling on Genomic Selection in Cassava Breeding</t>
  </si>
  <si>
    <t>GENOMEWIDE SELECTION; GENETIC GAIN; UNIT TIME; PREDICTION; ACCURACY; PROGRAMS; TRAITS; POPULATION; SIMULATION; PACKAGE</t>
  </si>
  <si>
    <t>In plant breeding, humans occasionally make mistakes. Genomic selection is particularly prone to human error because it involves more steps than conventional phenotypic selection. The impact of human mistakes should be determined to evaluate the cost effectiveness of controlling human error in plant breeding. We used simulation to evaluate the impact of mislabeling, where marker scores from one plant are associated with the performance records of another plant in cassava (Manihot esculenta Crantz) breeding. Results showed that, although selection with mislabeling reduced genetic gains, scenarios including six levels of mislabeling (from 5 to 50%) persisted in achieving gain because mislabeling decreased the genetic variance lost from the population. Breeding populations with higher rates of mislabeling experienced lower selection intensity, resulting in higher genetic variance, which partially compensated for the mislabeling. For low mislabeling rates (10% or less), the increased genetic variance observed under mislabeling led to improved accuracy of the prediction model in later selection cycles. Large-scale mislabeling should therefore be prevented, but the value of preventing small-scale mislabeling depends on the effort already being invested in preventing the loss of genetic variance during the course of selection. In a program, such as the one we simulated, that makes no effort to avoid loss of genetic variance, small-scale mislabeling has a less negative effect than expected. We assume that negative effects would be greater if best practices to avoid genetic variance loss were already implemented.</t>
  </si>
  <si>
    <t>[Yabe, Shiori; Iwata, Hiroyoshi] Univ Tokyo, Grad Sch Agr &amp; Life Sci, Dept Agr &amp; Environm Biol, Bunkyo Ku, Tokyo 1138657, Japan; [Jannink, Jean-Luc] USDA ARS, Robert Holley Ctr Agr &amp; Hlth, Ithaca, NY 14853 USA; [Jannink, Jean-Luc] Cornell Univ, Sect Plant Breeding &amp; Genet, Ithaca, NY 14853 USA</t>
  </si>
  <si>
    <t>University of Tokyo; United States Department of Agriculture (USDA); Cornell University</t>
  </si>
  <si>
    <t>Jannink, JL (corresponding author), USDA ARS, Robert Holley Ctr Agr &amp; Hlth, Ithaca, NY 14853 USA.;Jannink, JL (corresponding author), Cornell Univ, Sect Plant Breeding &amp; Genet, Ithaca, NY 14853 USA.</t>
  </si>
  <si>
    <t>jeanluc.jannink@ars.usda.gov</t>
  </si>
  <si>
    <t>Jannink, Jean-Luc/AFQ-9191-2022</t>
  </si>
  <si>
    <t>Jannink, Jean-Luc/0000-0003-4849-628X; Iwata, Hiroyoshi/0000-0002-6747-7036</t>
  </si>
  <si>
    <t>Next Generation Cassava Breeding Project from the Bill and Melinda Gates Foundation; UK Department for International Development; Japan Society for the Promotion of Science KAKENHI [25.6921]</t>
  </si>
  <si>
    <t>Next Generation Cassava Breeding Project from the Bill and Melinda Gates Foundation; UK Department for International Development; Japan Society for the Promotion of Science KAKENHI(Ministry of Education, Culture, Sports, Science and Technology, Japan (MEXT)Japan Society for the Promotion of ScienceGrants-in-Aid for Scientific Research (KAKENHI))</t>
  </si>
  <si>
    <t>This manuscript was improved by the helpful comments of Hirohisa Kishino, Ryo Ohsawa, Seishi Ninomiya, and Masaru Fujimoto. The authors thank Jeffrey B. Endelman for creating the R package rrBLUP version 4.4 to allow for different environmental error variances. This work was supported by the Next Generation Cassava Breeding Project through funds from the Bill and Melinda Gates Foundation and the UK Department for International Development. Support for the work of Shiori Yabe was provided by Japan Society for the Promotion of Science KAKENHI Grant no. 25.6921.</t>
  </si>
  <si>
    <t>10.2135/cropsci2017.07.0442</t>
  </si>
  <si>
    <t>GR3ZI</t>
  </si>
  <si>
    <t>Green Published, Green Submitted, hybrid</t>
  </si>
  <si>
    <t>WOS:000442536500003</t>
  </si>
  <si>
    <t>Abreu, GB; Ramalho, MAP; Toledo, FHRB; de Souza, JC</t>
  </si>
  <si>
    <t>Barbosa Abreu, G.; Patto Ramalho, M. A.; Ribeiro Barrozo Toledo, F. H.; de Souza, J. C.</t>
  </si>
  <si>
    <t>STRATEGIES TO IMPROVE MASS SELECTION IN MAIZE</t>
  </si>
  <si>
    <t>MAYDICA</t>
  </si>
  <si>
    <t>Plant breeding; Quantitative Genetics; Simulation; Moving Averages</t>
  </si>
  <si>
    <t>SPATIAL-ANALYSIS</t>
  </si>
  <si>
    <t>Mass selection is the oldest method of plant improvement and probably the most used method in plant breeding over time. Although it is relatively simple and easy to apply its efficiency of selection is often poor. The objective of this study was to assess alternative methods to increase genetic progress with use of mass selection. Use of alternative methods verified the efficiency of visual selection and strategies to improve the efficiency of mass selection. Two studies were conducted. First, we used a population of maize, in a field trial to verify the efficiency of visual selection made by ten evaluators, five in total areas and five in stratified areas, and checked the coincidence of plants visually selected with the weight of ear after the harvest. The second study was a computer simulation. That generated a population with 2025 individuals, with 1521 included in the selection. Populations were generated that considered different levels of heritability and allelic interactions. The environmental effects were simulated considering related and nonrelated errors. It was found that mass selection conducted visually within stratified areas was not efficient for the trait productivity; grain weight per plant should be determined for effective selection. The stratification of the area only improves efficiency when working with traits of lower heritability; when there is correlation of errors in the field; and the use of moving average did not increase the efficiency of mass selection.</t>
  </si>
  <si>
    <t>[Patto Ramalho, M. A.; Ribeiro Barrozo Toledo, F. H.; de Souza, J. C.] Univ Fed Lavras UFLA, Dept Biol, BR-37200000 Lavras, MG, Brazil</t>
  </si>
  <si>
    <t>Universidade Federal de Lavras</t>
  </si>
  <si>
    <t>guibabreu@hotmail.com</t>
  </si>
  <si>
    <t>Abreu, Guilherme/V-7372-2019</t>
  </si>
  <si>
    <t>MAYDICA-IST SPER CEREALICOLTUR</t>
  </si>
  <si>
    <t>BERGAMO</t>
  </si>
  <si>
    <t>SEZ DI BERGAMO VIA STEZZANO, 24, 24100 BERGAMO, ITALY</t>
  </si>
  <si>
    <t>0025-6153</t>
  </si>
  <si>
    <t>2279-8013</t>
  </si>
  <si>
    <t>Maydica</t>
  </si>
  <si>
    <t>3-4</t>
  </si>
  <si>
    <t>725IC</t>
  </si>
  <si>
    <t>WOS:000287637400006</t>
  </si>
  <si>
    <t>Gaynor, RC; Gorjanc, G; Bentley, AR; Ober, ES; Howell, P; Jackson, R; Mackay, IJ; Hickey, JM</t>
  </si>
  <si>
    <t>Gaynor, R. Chris; Gorjanc, Gregor; Bentley, Alison R.; Ober, Eric S.; Howell, Phil; Jackson, Robert; Mackay, Ian J.; Hickey, John M.</t>
  </si>
  <si>
    <t>A Two-Part Strategy for Using Genomic Selection to Develop Inbred Lines</t>
  </si>
  <si>
    <t>GENOMEWIDE SELECTION; DAIRY-CATTLE; WHEAT; RESISTANCE; SIMULATION; EVOLUTION; MAIZE</t>
  </si>
  <si>
    <t>We propose a strategy for implementing genomic selection in plant breeding programs for developing inbred lines that reorganizes traditional breeding programs into two distinct components. These components are: (i) a population improvement component to develop improved germplasm through rapid recurrent selection and (ii) a product development component to identify new inbred varieties or parents for hybrids using traditional breeding program designs. Stochastic simulations of entire breeding programs over 40 yr were used to evaluate the effectiveness of this strategy relative to a conventional program without genomic selection and programs using three standard strategies of implementing genomic selection. Cost effectiveness was measured by constraining all programs to approximately equal annual operating costs and directly comparing each program's overall performance. Programs using the two-part strategy generated between 2.36 and 2.47 times more genetic gain than the conventional program and between 1.31 and 1.46 times more genetic gain than the best performing standard genomic selection strategy. These results indicate that the two-part strategy is a cost-effective strategy for implementing genomic selection in plant breeding programs.</t>
  </si>
  <si>
    <t>[Gaynor, R. Chris; Gorjanc, Gregor; Hickey, John M.] Univ Edinburgh, Easter Bush Res Ctr, Roslin Inst, Edinburgh EH25 9RG, Midlothian, Scotland; [Gaynor, R. Chris; Gorjanc, Gregor; Hickey, John M.] Univ Edinburgh, Easter Bush Res Ctr, Royal Dick Sch Vet Studies, Edinburgh EH25 9RG, Midlothian, Scotland; [Bentley, Alison R.; Ober, Eric S.; Howell, Phil; Jackson, Robert; Mackay, Ian J.] NIAB, John Bingham Lab, Huntingdon Rd, Cambridge CB3 0LE, England</t>
  </si>
  <si>
    <t>UK Research &amp; Innovation (UKRI); Biotechnology and Biological Sciences Research Council (BBSRC); Roslin Institute; University of Edinburgh; University of Edinburgh</t>
  </si>
  <si>
    <t>Hickey, JM (corresponding author), Univ Edinburgh, Easter Bush Res Ctr, Roslin Inst, Edinburgh EH25 9RG, Midlothian, Scotland.;Hickey, JM (corresponding author), Univ Edinburgh, Easter Bush Res Ctr, Royal Dick Sch Vet Studies, Edinburgh EH25 9RG, Midlothian, Scotland.</t>
  </si>
  <si>
    <t>Ober, Eric/AFE-6048-2022; Bentley, Alison/LTF-8263-2024; Gorjanc, Gregor/D-3684-2014</t>
  </si>
  <si>
    <t>Jackson, Robert/0000-0002-8364-1633; Gorjanc, Gregor/0000-0001-8008-2787; Gaynor, Robert/0000-0003-0558-6656; Bentley, Alison/0000-0001-5519-4357; Ober, Eric/0000-0002-4832-5897</t>
  </si>
  <si>
    <t>BBSRC ISPG [BB/J004235/1]; Elsoms LTD; KWS UK LTD; Limagrain UK LTD; RAGT LTD; BBSRC [BB/M009254/1, BB/L020726/1, BB/N004736/1, BB/N004728/1, BB/L020467/1, BB/N006178/1]; Medical Research Council (MRC) [MR/M000370/1]; BBSRC [BB/N006178/1, BB/N004736/1, BB/I002561/1, BB/N004728/1, BB/M000869/1, BB/L020467/1, BB/L022141/1, BB/M009254/1, BB/L020726/1, BBS/E/J/000PR9781] Funding Source: UKRI; MRC [MR/M000370/1] Funding Source: UKRI</t>
  </si>
  <si>
    <t>BBSRC ISPG(UK Research &amp; Innovation (UKRI)Biotechnology and Biological Sciences Research Council (BBSRC)); Elsoms LTD; KWS UK LTD; Limagrain UK LTD; RAGT LTD; BBSRC(UK Research &amp; Innovation (UKRI)Biotechnology and Biological Sciences Research Council (BBSRC)); Medical Research Council (MRC)(UK Research &amp; Innovation (UKRI)Medical Research Council UK (MRC)); BBSRC(UK Research &amp; Innovation (UKRI)Biotechnology and Biological Sciences Research Council (BBSRC)); MRC(UK Research &amp; Innovation (UKRI)Medical Research Council UK (MRC))</t>
  </si>
  <si>
    <t>The authors acknowledge the financial support from the BBSRC ISPG to The Roslin Institute BB/J004235/1; from Elsoms LTD, KWS UK LTD, Limagrain UK LTD, and RAGT LTD; and from BBSRC grant numbers BB/M009254/1, BB/L020726/1, BB/N004736/1,BB/N004728/1, BB/L020467/1, BB/N006178/1, and Medical Research Council (MRC) grant number MR/M000370/1. This work has made use of the resources provided by the Edinburgh Compute and Data Facility (ECDF) (http://www.ecdf.ed.ac.uk/). The authors thank Dr. Andrew Derrington (Scotland, UK) and Dr. Susan Cleveland (Madison, WI) for assistance in refining the manuscript.</t>
  </si>
  <si>
    <t>10.2135/cropsci2016.09.0742</t>
  </si>
  <si>
    <t>FG8ZZ</t>
  </si>
  <si>
    <t>Green Submitted, hybrid</t>
  </si>
  <si>
    <t>WOS:000410728900007</t>
  </si>
  <si>
    <t>Tu, HN; Liao, CT</t>
  </si>
  <si>
    <t>Tu, Hui-Ning; Liao, Chen-Tuo</t>
  </si>
  <si>
    <t>A Modified Bayesian Optimization Approach for Determining a Training Set to Identify the Best Genotypes from a Candidate Population in Genomic Selection</t>
  </si>
  <si>
    <t>JOURNAL OF AGRICULTURAL BIOLOGICAL AND ENVIRONMENTAL STATISTICS</t>
  </si>
  <si>
    <t>Article; Early Access</t>
  </si>
  <si>
    <t>Expected improvement function; GBLUP model; Genomic prediction; Linear mixed effects model; Whole genome regression model</t>
  </si>
  <si>
    <t>GLOBAL OPTIMIZATION; CALIBRATION SET; PREDICTION; TRAITS; GAIN</t>
  </si>
  <si>
    <t>Training set optimization is a crucial factor affecting the probability of success for plant breeding programs using genomic selection. Conventionally, the training set optimization is developed to maximize Pearson's correlation between true breeding values and genomic estimated breeding values for a testing population, because it is an essential component of genetic gain in plant breeding. However, many practical breeding programs aim to identify the best genotypes for target traits in a breeding population. A modified Bayesian optimization approach is therefore developed in this study to construct training sets for tackling such an interesting problem. The proposed approach is based on Monte Carlo simulation and data cross-validation, which is shown to be competitive with the existing methods developed to achieve the maximal Pearson's correlation. Four real genome datasets, including two rice, one wheat, and one soybean, are analyzed in this study. An R package is generated to facilitate the application of the proposed approach. Supplementary materials accompanying this paper appear online.</t>
  </si>
  <si>
    <t>[Tu, Hui-Ning; Liao, Chen-Tuo] Natl Taiwan Univ, Dept Agron, Taipei, Taiwan</t>
  </si>
  <si>
    <t>National Taiwan University</t>
  </si>
  <si>
    <t>Liao, CT (corresponding author), Natl Taiwan Univ, Dept Agron, Taipei, Taiwan.</t>
  </si>
  <si>
    <t>ctliao@ntu.edu.tw</t>
  </si>
  <si>
    <t>Liao, Chen-Tuo/0000-0001-9777-3701</t>
  </si>
  <si>
    <t>National Science and Technology Council</t>
  </si>
  <si>
    <t>No Statement Available</t>
  </si>
  <si>
    <t>1085-7117</t>
  </si>
  <si>
    <t>1537-2693</t>
  </si>
  <si>
    <t>J AGR BIOL ENVIR ST</t>
  </si>
  <si>
    <t>J. Agric. Biol. Environ. Stat.</t>
  </si>
  <si>
    <t>2024 JUN 19</t>
  </si>
  <si>
    <t>10.1007/s13253-024-00632-y</t>
  </si>
  <si>
    <t>JUN 2024</t>
  </si>
  <si>
    <t>Life Sciences &amp; Biomedicine - Other Topics; Mathematical &amp; Computational Biology; Mathematics</t>
  </si>
  <si>
    <t>UW2V0</t>
  </si>
  <si>
    <t>WOS:001251043400001</t>
  </si>
  <si>
    <t>Lorenz, AJ</t>
  </si>
  <si>
    <t>Lorenz, Aaron J.</t>
  </si>
  <si>
    <t>Resource Allocation for Maximizing Prediction Accuracy and Genetic Gain of Genomic Selection in Plant Breeding: A Simulation Experiment</t>
  </si>
  <si>
    <t>genomic selection; plant breeding; GenPred; Shared data resources</t>
  </si>
  <si>
    <t>MOLECULAR MARKERS; TRAITS; POWER; BIAS</t>
  </si>
  <si>
    <t>Allocating resources between population size and replication affects both genetic gain through phenotypic selection and quantitative trait loci detection power and effect estimation accuracy for marker-assisted selection (MAS). It is well known that because alleles are replicated across individuals in quantitative trait loci mapping and MAS, more resources should be allocated to increasing population size compared with phenotypic selection. Genomic selection is a form of MAS using all marker information simultaneously to predict individual genetic values for complex traits and has widely been found superior to MAS. No studies have explicitly investigated how resource allocation decisions affect success of genomic selection. My objective was to study the effect of resource allocation on response to MAS and genomic selection in a single biparental population of doubled haploid lines by using computer simulation. Simulation results were compared with previously derived formulas for the calculation of prediction accuracy under different levels of heritability and population size. Response of prediction accuracy to resource allocation strategies differed between genomic selection models (ridge regression best linear unbiased prediction [RR-BLUP], BayesC pi) and multiple linear regression using ordinary least-squares estimation (OLS), leading to different optimal resource allocation choices between OLS and RR-BLUP. For OLS, it was always advantageous to maximize population size at the expense of replication, but a high degree of flexibility was observed for RR-BLUP. Prediction accuracy of doubled haploid lines included in the training set was much greater than of those excluded from the training set, so there was little benefit to phenotyping only a subset of the lines genotyped. Finally, observed prediction accuracies in the simulation compared well to calculated prediction accuracies, indicating these theoretical formulas are useful for making resource allocation decisions.</t>
  </si>
  <si>
    <t>[Lorenz, Aaron J.] Univ Nebraska, Dept Agron &amp; Hort, Lincoln, NE 68583 USA</t>
  </si>
  <si>
    <t>University of Nebraska System; University of Nebraska Lincoln</t>
  </si>
  <si>
    <t>Lorenz, AJ (corresponding author), 363 Keim Hall,POB 830915, Lincoln, NE 68583 USA.</t>
  </si>
  <si>
    <t>alorenz2@unl.edu</t>
  </si>
  <si>
    <t>MAR 1</t>
  </si>
  <si>
    <t>10.1534/g3.112.004911</t>
  </si>
  <si>
    <t>103WK</t>
  </si>
  <si>
    <t>WOS:000315950000009</t>
  </si>
  <si>
    <t>Jahufer, MZZ; Luo, DW</t>
  </si>
  <si>
    <t>Jahufer, M. Z. Z.; Luo, Dongwen</t>
  </si>
  <si>
    <t>DeltaGen: A Comprehensive Decision Support Tool for Plant Breeders</t>
  </si>
  <si>
    <t>EXPECTED GENETIC GAINS; GENOMIC SELECTION; RESOURCE-ALLOCATION; BREEDING SCHEMES; PREDICTION; SIMULATION; INDEX; HERITABILITY; VARIANCES; ACCURACY</t>
  </si>
  <si>
    <t>In this paper, we introduce a unique new plant breeding decision support software tool DeltaGen, implemented in R and its package Shiny. DeltaGen provides plant breeders with a single integrated solution for experimental design generation, data quality control, statistical and quantitative genetic analyses, breeding strategy evaluation, simulation, and cost analysis, pattern analysis, index selection, and underlying basic theory on quantitative genetics. Key analysis procedures in DeltaGen were demonstrated using three datasets generated from forage breeding trials in Australia, New Zealand, and the United States. Analyses of the perennial ryegrass seasonal growth data in Case Study 1 was based on residual maximum likelihood analysis and pattern analysis. A graphical summary of the performance of entries across locations was generated, and entries with specific and broad adaptation were identified. The quantitative genetic analysis and breeding method simulation procedures applied to the perennial ryegrass half-sib (HS) family data in Case Study 2 enabled estimation of quantitative genetic parameters, prediction of genetic gain, and calculation of costs per selection cycle. These results enabled comparison of three breeding methods, which also included genomic selection, and their simulation. Data from Case Study 3 were analyzed to investigate a multivariate approach to identify HS families of switchgrass with breeding values that would enable an increase in biomass dry matter yield (DMY) and cell wall ethanol (CWE) and a decrease in Klason lignin (KL). The Smith-Hazel index developed enabled identification of HS families with genetic worth for increasing DMY and CWE and reducing KL, in contrast with individual trait selection. Analysis of the datasets in all three case studies provides a snapshot of the key analyses available within DeltaGen. This software tool could also be used as a teaching resource in plant breeding courses. DeltaGen is available as freeware at http://agrubuntu.cloudapp.net/PlantBreedingTool/</t>
  </si>
  <si>
    <t>[Jahufer, M. Z. Z.; Luo, Dongwen] AgResearch, Grasslands Res Ctr, Private Bag 11008, Palmerston North, New Zealand</t>
  </si>
  <si>
    <t>AgResearch - New Zealand</t>
  </si>
  <si>
    <t>Jahufer, MZZ (corresponding author), AgResearch, Grasslands Res Ctr, Private Bag 11008, Palmerston North, New Zealand.</t>
  </si>
  <si>
    <t>zulfi.jahufer@agresearch.co.nz</t>
  </si>
  <si>
    <t>Pastoral Genomics (PG+); DairyNZ; Beef+Lamb New Zealand; Dairy Australia; AgResearch; New Zealand Agriseeds; Grasslands Innovation; DEEResearch; Ministry of Business, Innovation and Employment, New Zealand</t>
  </si>
  <si>
    <t>Pastoral Genomics (PG+); DairyNZ; Beef+Lamb New Zealand; Dairy Australia(Dairy Australia); AgResearch; New Zealand Agriseeds; Grasslands Innovation; DEEResearch; Ministry of Business, Innovation and Employment, New Zealand(New Zealand Ministry of Business, Innovation and Employment (MBIE))</t>
  </si>
  <si>
    <t>This work was funded by Pastoral Genomics (PG+), a joint venture cofunded by DairyNZ, Beef+Lamb New Zealand, Dairy Australia, AgResearch, New Zealand Agriseeds, Grasslands Innovation, DEEResearch, and the Ministry of Business, Innovation and Employment, New Zealand. We wish to thank our AgResearch colleagues Mr. Brent Barrett and Dr. Tony Conner for their continued encouragement and support to develop DeltaGen; Dr. Mingshu Cao for his contribution to the programming of MANOVA; Dr. Andrew Griffiths, Dr. Marty Faville, and Dr. Siva Ganesh for their advice on GS; Dr. Ken Dodds and Dr. John Koolaard for their advice on statistics; Dr. Jingli Lu for help with software server establishment; and Dr. Jeanne Jacobs for support with stakeholder collaboration. Thanks to Dr. Neil Coombes, New South Wales Department of Primary Industry, Australia, and Dr. Mario D'Autuono, Department of Agriculture and Food, Western Australia, for their advice on Digger. Thanks to Dr. Luis Apiolaza, New Zealand School of Forestry, University of Canterbury, for his advice on index selection. Thanks to Dr. Alan Stewart, PGG Wrightson Seeds, New Zealand, and Dr. Rex Clements, Glenormiston campus, South West Institute of TAFE, Victoria, Australia, for providing the datasets for Case Studies 1 and 2, respectively. Thanks to Dr. Michael Casler, USDA-ARS, Madison, WI, for advice on quantitative genetics and providing the switchgrass data used in Case Study 3. We thank the PG+ International Science Advisory Committee for their continuous support. We also wish to thank Dr. Jeffrey Endelman, Associate Editor, Crop Science, and the two reviewers for their valuable comments and suggestions that helped improve the quality of this paper.</t>
  </si>
  <si>
    <t>MAY-JUN</t>
  </si>
  <si>
    <t>10.2135/cropsci2017.07.0456</t>
  </si>
  <si>
    <t>GR3ZD</t>
  </si>
  <si>
    <t>WOS:000442536000007</t>
  </si>
  <si>
    <t>Ye, GY; van Ginkel, M</t>
  </si>
  <si>
    <t>Singh, RK; Singh, R; Ye, GY; Selvi, A; Rao, GP</t>
  </si>
  <si>
    <t>Ye, Guoyou; van Ginkel, Maarten</t>
  </si>
  <si>
    <t>Formulating Marker-Assisted Selection Strategies Using Computer Simulation</t>
  </si>
  <si>
    <t>MOLECULAR PLANT BREEDING: PRINCIPLE, METHOD AND APPLICATION</t>
  </si>
  <si>
    <t>QTL; Statistical tool; MAS; Computer simulation</t>
  </si>
  <si>
    <t>QUANTITATIVE TRAIT LOCI; WHEAT BREEDING PROGRAMS; GENE; MODEL</t>
  </si>
  <si>
    <t>With the rapid development of molecular technology and statistical tools for QTL mapping and association mapping, countless marker-trait associations are established in many crops for many key agronomic traits. The development of highly efficient genotyping systems significantly reduces the cost of genotyping. With that marker-assisted selection will become more and more accessible to plant breeders. The challenge faced by breeders is how to best use the rapidly accumulating genotypic information to breed better varieties faster. Computer simulation, which models the process of plant breeding within the context of defined gene-environment systems, has been used to assist the development of more efficient breeding strategies. In this chapter, the requirements for designing a marker-assisted selection strategy using computer simulation were discussed. Examples including parental selection using known-gene information, foreground and background selection in advanced backcrossing and gene pyramiding were used to demonstrate how an efficient MAS strategy can be designed.</t>
  </si>
  <si>
    <t>[Ye, Guoyou] Dept Primary Ind Victoria, Biosci Div, Bundoora Ctr, Bundoora, Vic 3086, Australia; [Ye, Guoyou] Mol Plant Breeding Cooperat Res Ctr, Bundoora, Vic 3086, Australia; [van Ginkel, Maarten] Int Ctr Agr Res Dry Areas, Aleppo, Syria</t>
  </si>
  <si>
    <t>Victorian Department of Environment &amp; Primary Industries; CGIAR; International Center for Agricultural Research in the Dry Areas (ICARDA)</t>
  </si>
  <si>
    <t>Ye, GY (corresponding author), Dept Primary Ind Victoria, Biosci Div, Bundoora Ctr, 1 Pk Dr, Bundoora, Vic 3086, Australia.</t>
  </si>
  <si>
    <t>guoyou.ye@dpi.vic.gov.au; guoyou.ye@dpi.vic.gov.au</t>
  </si>
  <si>
    <t>Ye, Guoyou/0000-0002-9943-4815</t>
  </si>
  <si>
    <t>STUDIUM PRESS LLC</t>
  </si>
  <si>
    <t>HOUSTON</t>
  </si>
  <si>
    <t>PO BOX 722200, HOUSTON, TX 77072 USA</t>
  </si>
  <si>
    <t>978-1-933699-49-3</t>
  </si>
  <si>
    <t>BWE77</t>
  </si>
  <si>
    <t>WOS:000293772800016</t>
  </si>
  <si>
    <t>Fita, A; Tarín, N; Prohens, J; Rodríguez-Burruezo, A</t>
  </si>
  <si>
    <t>Fita, Ana; Tarin, Nestor; Prohens, Jaime; Rodriguez-Burruezo, Adrian</t>
  </si>
  <si>
    <t>A Software Tool for Teaching Backcross Breeding Simulation</t>
  </si>
  <si>
    <t>HORTTECHNOLOGY</t>
  </si>
  <si>
    <t>Cucumis melo; effective learning; breeding methods; Retromelon</t>
  </si>
  <si>
    <t>MELON VINE DECLINE; LINES TOLERANT</t>
  </si>
  <si>
    <t>Plant breeding programs Involve multiple steps, and their complete development cannot be experienced by students in a single academic year Tools of communication and information technologies offer a great opportunity to improve students' skills, but only a few software are available for training undergraduate student, in plant breeding programs Here we present a student friendly software tool, Retromelon, for simulating the backcross breeding method We also evaluate its suitability and performance as a learning tool This software is designed to recreate a real melon (Cucumis melo) backcross breeding program aimed at introgressing the resistance to melon vine decline from the tolerant melon cultivar Pat81 into the susceptible cultivar Piel de Sapo The software simulates the most important steps and decisions tint must be made by a plant breeder m a backcross breeding program, including the number of individuals to evaluate in each generation, evaluation of agronomic traits, and selection of individuals This software is being used by undergraduate horticulture students Our results have shown that the use of this tool in the classroom increases the motivation of the student,, and then fare, benefits the learning process This software is available upon request both in English and Spanish versions</t>
  </si>
  <si>
    <t>[Fita, Ana; Prohens, Jaime; Rodriguez-Burruezo, Adrian] Univ Politecn Valencia, Dept Biotecnol, Valencia 46022, Spain</t>
  </si>
  <si>
    <t>Universitat Politecnica de Valencia</t>
  </si>
  <si>
    <t>Fita, A (corresponding author), Univ Politecn Valencia, Dept Biotecnol, Camino Vera 14, Valencia 46022, Spain.</t>
  </si>
  <si>
    <t>Prohens, Jaime/ABF-1229-2021; Fita, ANA/K-4250-2017; Burruezo, Adrian/AAB-1498-2019; Prohens, Jaime/H-2228-2015</t>
  </si>
  <si>
    <t>FITA, ANA/0000-0002-8637-5852; Prohens, Jaime/0000-0003-1181-9065; Rodriguez-Burruezo, Adrian/0000-0002-4530-8071</t>
  </si>
  <si>
    <t>AMER SOC HORTICULTURAL SCIENCE</t>
  </si>
  <si>
    <t>ALEXANDRIA</t>
  </si>
  <si>
    <t>113 S WEST ST, STE 200, ALEXANDRIA, VA 22314-2851 USA</t>
  </si>
  <si>
    <t>1063-0198</t>
  </si>
  <si>
    <t>HortTechnology</t>
  </si>
  <si>
    <t>10.21273/HORTSCI.20.6.1049</t>
  </si>
  <si>
    <t>Horticulture</t>
  </si>
  <si>
    <t>701NM</t>
  </si>
  <si>
    <t>WOS:000285824600016</t>
  </si>
  <si>
    <t>Anilkumar, C; Sunitha, NC; Harikrishna; Devate, NB; Ramesh, S</t>
  </si>
  <si>
    <t>Anilkumar, C.; Sunitha, N. C.; Harikrishna; Devate, Narayana Bhat; Ramesh, S.</t>
  </si>
  <si>
    <t>Advances in integrated genomic selection for rapid genetic gain in crop improvement: a review</t>
  </si>
  <si>
    <t>PLANTA</t>
  </si>
  <si>
    <t>Accelerated crop improvement; Cross-validation; Genetic gain; Integrated GS; SOP for GS</t>
  </si>
  <si>
    <t>MARKER-ASSISTED SELECTION; FUSARIUM HEAD BLIGHT; GENOMEWIDE SELECTION; WIDE SELECTION; POPULATION-STRUCTURE; QUANTITATIVE TRAITS; PREDICTION METHODS; BREEDING SCHEMES; COMPLEX TRAITS; DAIRY-CATTLE</t>
  </si>
  <si>
    <t>Main conclusion Genomic selection and its importance in crop breeding. Integration of GS with new breeding tools and developing SOP for GS to achieve maximum genetic gain with low cost and time. The success of conventional breeding approaches is not sufficient to meet the demand of a growing population for nutritious food and other plant-based products. Whereas, marker assisted selection (MAS) is not efficient in capturing all the favorable alleles responsible for economic traits in the process of crop improvement. Genomic selection (GS) developed in livestock breeding and then adapted to plant breeding promised to overcome the drawbacks of MAS and significantly improve complicated traits controlled by gene/QTL with small effects. Large-scale deployment of GS in important crops, as well as simulation studies in a variety of contexts, addressed G x E interaction effects and non-additive effects, as well as lowering breeding costs and time. The current study provides a complete overview of genomic selection, its process, and importance in modern plant breeding, along with insights into its application. GS has been implemented in the improvement of complex traits including tolerance to biotic and abiotic stresses. Furthermore, this review hypothesises that using GS in conjunction with other crop improvement platforms accelerates the breeding process to increase genetic gain. The objective of this review is to highlight the development of an appropriate GS model, the global open source network for GS, and trans-disciplinary approaches for effective accelerated crop improvement. The current study focused on the application of data science, including machine learning and deep learning tools, to enhance the accuracy of prediction models. Present study emphasizes on developing plant breeding strategies centered on GS combined with routine conventional breeding principles by developing GS-SOP to achieve enhanced genetic gain.</t>
  </si>
  <si>
    <t>[Anilkumar, C.] ICAR Natl Rice Res Inst, Cuttack, India; [Sunitha, N. C.; Ramesh, S.] Univ Agr Sci, Bangalore, Karnataka, India; [Harikrishna; Devate, Narayana Bhat] ICAR Indian Agr Res Inst, New Delhi, India</t>
  </si>
  <si>
    <t>Indian Council of Agricultural Research (ICAR); ICAR - National Rice Research Institute; University of Agricultural Sciences Bangalore; Indian Council of Agricultural Research (ICAR); ICAR - Indian Agricultural Research Institute</t>
  </si>
  <si>
    <t>Ramesh, S (corresponding author), Univ Agr Sci, Bangalore, Karnataka, India.</t>
  </si>
  <si>
    <t>anilcgpb@gmail.com; sunithanc91@gmail.com; harikrishna.agri@gmail.com; narayan.kumta20@gmail.com; ramesh_uasb@rediffmail.com</t>
  </si>
  <si>
    <t>S, RAMESH/ABG-3678-2021; C, Anilkumar/AAW-8902-2020</t>
  </si>
  <si>
    <t>Krishna, Hari/0000-0002-7563-8362; C, Anilkumar/0000-0002-7359-1249; , Narayana Bhat Devate/0000-0003-4665-8118</t>
  </si>
  <si>
    <t>0032-0935</t>
  </si>
  <si>
    <t>1432-2048</t>
  </si>
  <si>
    <t>Planta</t>
  </si>
  <si>
    <t>10.1007/s00425-022-03996-y</t>
  </si>
  <si>
    <t>4S8FG</t>
  </si>
  <si>
    <t>WOS:000857669100001</t>
  </si>
  <si>
    <t>Jiang, L; Zhao, FP; Zhang, Q</t>
  </si>
  <si>
    <t>Jiang, Li; Zhao, Fuping; Zhang, Qin</t>
  </si>
  <si>
    <t>Simulation of gene pyramiding in Drosophila melanogaster</t>
  </si>
  <si>
    <t>JOURNAL OF GENETICS AND GENOMICS</t>
  </si>
  <si>
    <t>gene pyramiding; Drosophila melanogaster; simulation</t>
  </si>
  <si>
    <t>BACTERIAL-BLIGHT RESISTANCE; MARKER-ASSISTED SELECTION; RESTORER LINE; RICE; WHEAT; IDENTIFICATION; IMPROVEMENT; MINGHUI-63; INDICA; LOCUS</t>
  </si>
  <si>
    <t>Gene pyramiding has been successfully practiced in plant breeding for developing new breeds or lines in which favorable genes from several different lines were integrated. But it has not been used in animal breeding, and some theoretical investigation and simulation analysis with respect to its strategies, feasibility and efficiency are needed before it can be implemented in animals. In this study, we used four different pure lines of Drosophila melanogaster, each of which is homozygous at a specific mutant gene with a visible effect on phenotype, to simulate the gene pyramiding process and analyze the duration and population size required in different pyramiding strategies. We finally got the ideal individuals, which are homozygous at the four target genes simultaneously. This study demonstrates that gene pyramiding is feasible in animal breeding and the interaction between genes may affect the final results.</t>
  </si>
  <si>
    <t>[Jiang, Li; Zhao, Fuping; Zhang, Qin] China Agr Univ, Coll Anim Sci &amp; Technol, Minist Agr, Key Lab Anim Genet &amp; Breeding,State Key Labs Agro, Beijing 100094, Peoples R China</t>
  </si>
  <si>
    <t>China Agricultural University; Ministry of Agriculture &amp; Rural Affairs</t>
  </si>
  <si>
    <t>Zhang, Q (corresponding author), China Agr Univ, Coll Anim Sci &amp; Technol, Minist Agr, Key Lab Anim Genet &amp; Breeding,State Key Labs Agro, Beijing 100094, Peoples R China.</t>
  </si>
  <si>
    <t>qzhang@cau.edu.cn</t>
  </si>
  <si>
    <t>Jiang, Li/0000-0002-0648-2173</t>
  </si>
  <si>
    <t>National High-Tech Research and Development Program of China [2006AA10Z1137]</t>
  </si>
  <si>
    <t>National High-Tech Research and Development Program of China(National High Technology Research and Development Program of China)</t>
  </si>
  <si>
    <t>This study was supported by the National High-Tech Research and Development Program of China (863 Project) (No. 2006AA10Z1137).</t>
  </si>
  <si>
    <t>SCIENCE PRESS</t>
  </si>
  <si>
    <t>BEIJING</t>
  </si>
  <si>
    <t>16 DONGHUANGCHENGGEN NORTH ST, BEIJING 100717, PEOPLES R CHINA</t>
  </si>
  <si>
    <t>1673-8527</t>
  </si>
  <si>
    <t>1873-5533</t>
  </si>
  <si>
    <t>J GENET GENOMICS</t>
  </si>
  <si>
    <t>J. Genet. Genomics</t>
  </si>
  <si>
    <t>10.1016/S1673-8527(08)60229-5</t>
  </si>
  <si>
    <t>Biochemistry &amp; Molecular Biology; Genetics &amp; Heredity</t>
  </si>
  <si>
    <t>408ID</t>
  </si>
  <si>
    <t>WOS:000263427800005</t>
  </si>
  <si>
    <t>Hammer, G; McLean, G; Doherty, A; van Oosterom, E; Chapman, S</t>
  </si>
  <si>
    <t>Ciampitti, IA; Prasad, PVV</t>
  </si>
  <si>
    <t>Hammer, Graeme; McLean, Greg; Doherty, Al; van Oosterom, Erik; Chapman, Scott</t>
  </si>
  <si>
    <t>Sorghum Crop Modeling and Its Utility in Agronomy and Breeding</t>
  </si>
  <si>
    <t>SORGHUM: A STATE OF THE ART AND FUTURE PERSPETIVES</t>
  </si>
  <si>
    <t>Agronomy Monograph</t>
  </si>
  <si>
    <t>NODAL ROOT ANGLE; LIMITED SUBTROPICAL ENVIRONMENTS; REPLANTING GRAIN-SORGHUM; RADIATION USE EFFICIENCY; ASSESSING CLIMATIC RISK; LEAF-AREA DYNAMICS; DECISION-SUPPORT; CANOPY DEVELOPMENT; DROUGHT STRESS; WATER-USE</t>
  </si>
  <si>
    <t>Crop models are simplified mathematical representations of the interacting biological and environmental components of the dynamic soil-plant-environment system. Sorghum crop modeling has evolved in parallel with crop modeling capability in general, since its origins in the 1960s and 1970s. Here we briefly review the trajectory in sorghum crop modeling leading to the development of advanced models. We then (i) overview the structure and function of the sorghum model in the Agricultural Production System sIMulator (APSIM) to exemplify advanced modeling concepts that suit both agronomic and breeding applications, (ii) review an example of use of sorghum modeling in supporting agronomic management decisions, (iii) review an example of the use of sorghum modeling in plant breeding, and (iv) consider implications for future roles of sorghum crop modeling. Modeling and simulation provide an avenue to explore consequences of crop management decision options in situations confronted with risks associated with seasonal climate uncertainties. Here we consider the possibility of manipulating planting configuration and density in sorghum as a means to manipulate the productivity-risk trade-off. A simulation analysis of decision options is presented and avenues for its use with decision-makers discussed. Modeling and simulation also provide opportunities to improve breeding efficiency by either dissecting complex traits to more amenable targets for genetics and breeding, or by trait evaluation via phenotypic prediction in target production regions to help prioritize effort and assess breeding strategies. Here we consider studies on the stay-green trait in sorghum, which confers yield advantage in water-limited situations, to exemplify both aspects. The possible future roles of sorghum modeling in agronomy and breeding are discussed as are opportunities related to their synergistic interaction. The potential to add significant value to the revolution in plant breeding associated with genomic technologies is identified as the new modeling frontier.</t>
  </si>
  <si>
    <t>[Hammer, Graeme; van Oosterom, Erik] Univ Queensland, Queensland Alliance Agr &amp; Food Innovat, Ctr Plant Sci, Brisbane, Qld 4072, Australia; [McLean, Greg] Agri Sci Queensland, Dept Agr &amp; Fisheries, 203 Tor St, Toowoomba, Qld 4350, Australia; [Doherty, Al] Univ Queensland, Queensland Alliance Agr &amp; Food Innovat, Ctr Plant Sci, 203 Tor St, Toowoomba, Qld 4350, Australia; [Chapman, Scott] CSIRO Agr Flagship, Queensland Biosci Precinct, 306 Carmody Rd, St Lucia, Qld 4067, Australia</t>
  </si>
  <si>
    <t>University of Queensland; Queensland Department of Agriculture &amp; Fisheries; University of Queensland; Commonwealth Scientific &amp; Industrial Research Organisation (CSIRO)</t>
  </si>
  <si>
    <t>Hammer, G (corresponding author), Univ Queensland, Queensland Alliance Agr &amp; Food Innovat, Ctr Plant Sci, Brisbane, Qld 4072, Australia.</t>
  </si>
  <si>
    <t>McLean, Gregory/Q-9103-2017; Hammer, Graeme/A-3785-2008; Chapman, Scott/B-9673-2008</t>
  </si>
  <si>
    <t>Hammer, Graeme/0000-0002-1180-7374; Van Oosterom, Erik/0000-0003-4886-4038; Chapman, Scott/0000-0003-4732-8452</t>
  </si>
  <si>
    <t>Australian Research Council; Grains Research and Development Corporation; DuPont Pioneer; European Union; Australian Centre for International Agricultural Research</t>
  </si>
  <si>
    <t>Australian Research Council(Australian Research Council); Grains Research and Development Corporation(Grains R&amp;D Corp); DuPont Pioneer; European Union(European Union (EU)); Australian Centre for International Agricultural Research(Australian Centre for International Agricultural Research)</t>
  </si>
  <si>
    <t>This paper summarizes the research of a team of people, which would not have been possible without the long-term and ongoing support of their respective organizations. Additional financial support from a number of research funding agencies/collaborators, including Australian Research Council, Grains Research and Development Corporation, DuPont Pioneer, European Union FP7, and Australian Centre for International Agricultural Research, is gratefully acknowledged. The authors acknowledge Crop &amp; Pasture Science (CSIRO Publishing) and Journal of Experimental Botany (Oxford Journals) for permissions to reuse figures.</t>
  </si>
  <si>
    <t>AMER SOC AGRONOMY</t>
  </si>
  <si>
    <t>677 SOUTH SEGOE RD, MADISON, WI 53711 USA</t>
  </si>
  <si>
    <t>2156-3276</t>
  </si>
  <si>
    <t>978-0-89118-628-1; 978-0-89118-627-4</t>
  </si>
  <si>
    <t>AGRON MONOGR</t>
  </si>
  <si>
    <t>10.2134/agronmonogr58.2014.0064</t>
  </si>
  <si>
    <t>10.2134/agronmonogr58</t>
  </si>
  <si>
    <t>BR7KE</t>
  </si>
  <si>
    <t>WOS:000668148800012</t>
  </si>
  <si>
    <t>Casadebaig, P; Gauffreteau, A; Landré, A; Langlade, NB; Mestries, E; Sarron, J; Trépos, R; Vincourt, P; Debaeke, P</t>
  </si>
  <si>
    <t>Casadebaig, Pierre; Gauffreteau, Arnaud; Landre, Amelia; Langlade, Nicolas B.; Mestries, Emmanuelle; Sarron, Julien; Trepos, Ronan; Vincourt, Patrick; Debaeke, Philippe</t>
  </si>
  <si>
    <t>Optimized cultivar deployment improves the efficiency and stability of sunflower crop production at national scale</t>
  </si>
  <si>
    <t>SYSTEMS BIOLOGY; ENVIRONMENT INTERACTION; MODELS; GENOTYPE; PERFORMANCE; POPULATION; ADAPTATION; SIMULATION; STRATEGIES; IDEOTYPES</t>
  </si>
  <si>
    <t>Key message Crop simulation helps to analyze environmental impacts on crops and provides year-independent context information. This information is of major importance when deciding which cultivar to choose at sowing time. Plant breeding programs design new crop cultivars which, while developed for distinct populations of environments, are nevertheless grown over large areas during their time in the market. Over its cultivation area, the crop is exposed to highly diverse stress patterns caused by climatic uncertainty and multiple management options, which often leads to decreased expected crop performance. In this study, we aim to assess how finer spatial management of genetic resources could reduce the yield variance explained by genotype x environment interactions in a set of cropping environments and ultimately improve the efficiency and stability of crop production. We used modeling and simulation to predict the crop performance resulting from the interaction between cultivar growth and development, climate and soil conditions, and management practices. We designed a computational experiment that evaluated the performance of a collection of commercial sunflower cultivars in a realistic population of cropping conditions in France, built from extensive agricultural surveys. Distinct farming locations sharing similar simulated abiotic stress patterns were clustered together to specify environment types. We then used optimization methods to search for cultivars x environments combinations leading to increased yield expectations. Results showed that a single cultivar choice adapted to the most frequent environment-type in the population is a robust strategy. However, the relevance of cultivar recommendations to specific locations was gradually increasing with the knowledge of pedo-climatic conditions. We argue that this approach while being operational on current genetic material could act synergistically with plant breeding as more diverse material could enable access to cultivars with distinctive traits, more adapted to specific conditions.</t>
  </si>
  <si>
    <t>[Casadebaig, Pierre; Landre, Amelia; Sarron, Julien; Debaeke, Philippe] Univ Toulouse, UMR AGIR, INRAE, F-31320 Castanet Tolosan, France; [Gauffreteau, Arnaud] Univ Paris Saclay, UMR Agron, AgroParisTech, INRAE, F-78850 Thiverval Grignon, France; [Langlade, Nicolas B.; Vincourt, Patrick] Univ Toulouse, UMR LIPM, INRAE, F-31320 Castanet Tolosan, France; [Mestries, Emmanuelle] Terres Inovia, F-31320 Castanet Tolosan, France; [Sarron, Julien] Univ Montpellier, UPR HortSys, CIRAD, F-34398 Montpellier, France; [Trepos, Ronan] Univ Toulouse, UR MIAT, INRAE, F-31320 Castanet Tolosan, France</t>
  </si>
  <si>
    <t>Universite de Toulouse; INRAE; AgroParisTech; Universite Paris Saclay; INRAE; Universite de Toulouse; Universite Federale Toulouse Midi-Pyrenees (ComUE); Universite Toulouse III - Paul Sabatier; Institut National des Sciences Appliquees de Toulouse; Centre National de la Recherche Scientifique (CNRS); INRAE; CIRAD; Universite de Montpellier; INRAE; Universite de Toulouse</t>
  </si>
  <si>
    <t>Casadebaig, P (corresponding author), Univ Toulouse, UMR AGIR, INRAE, F-31320 Castanet Tolosan, France.</t>
  </si>
  <si>
    <t>pierre.casadebaig@inrae.fr</t>
  </si>
  <si>
    <t>VINCOURT, Patrick/HJY-2663-2023; Casadebaig, Pierre/AAL-6998-2020; Langlade, Nicolas/C-6191-2008</t>
  </si>
  <si>
    <t>Casadebaig, Pierre/0000-0001-7225-936X</t>
  </si>
  <si>
    <t>French Ministry of Agriculture [CASDAR C-2016-03 CARAVAGE]; French Ministry of Research [ANR SUNRISE ANR-11-BTBR-0005]; French National Research Agency under the Investments for the Future Program [ANR-16-CONV-0004]</t>
  </si>
  <si>
    <t>French Ministry of Agriculture; French Ministry of Research(Ministry of Research, France); French National Research Agency under the Investments for the Future Program(Agence Nationale de la Recherche (ANR))</t>
  </si>
  <si>
    <t>Grants were provided by the French Ministry of Agriculture (CASDAR C-2016-03 CARAVAGE) and the French Ministry of Research (ANR SUNRISE ANR-11-BTBR-0005). This work was also supported by the French National Research Agency under the Investments for the Future Program, referred to as ANR-16-CONV-0004.</t>
  </si>
  <si>
    <t>2022 MAR 16</t>
  </si>
  <si>
    <t>10.1007/s00122-022-04072-5</t>
  </si>
  <si>
    <t>MAR 2022</t>
  </si>
  <si>
    <t>ZU4SF</t>
  </si>
  <si>
    <t>Green Submitted</t>
  </si>
  <si>
    <t>WOS:000769832800001</t>
  </si>
  <si>
    <t>van Frank, G; Goldringer, I; Rivière, P; David, O</t>
  </si>
  <si>
    <t>van Frank, Gaelle; Goldringer, Isabelle; Riviere, Pierre; David, Olivier</t>
  </si>
  <si>
    <t>Influence of experimental design on decentralized, on-farm evaluation of populations: a simulation study</t>
  </si>
  <si>
    <t>Bayesian modeling; Decentralized breeding; On-farm trials; Participatory plant breeding</t>
  </si>
  <si>
    <t>BAYESIAN-APPROACH; ADAPTATION; VARIETIES; TRIALS; EFFICIENCY; OPTIMIZATION; GENERATION; REGRESSION; SELECTION; NETWORKS</t>
  </si>
  <si>
    <t>Participatory plant breeding (PPB) has received much attention in recent decades for its ability to develop varieties adapted to the diversity of farm conditions and to farmers' needs and practices. Specific methodological issues arise when working with on-farm experiments, one being the implementation of an experimental design that matches farmers' constraints and objectives, while allowing for accurate statistical analyses of the data. We took the example of a French PPB case on bread wheat, in which farmers, facilitators and researchers have co-constructed an experimental design that meets their needs, but is very unbalanced and required the development of Bayesian statistical models to compare populations on-farm, over environments and analyze their sensitivity to environments. Through a simulation study, we investigated the effects of different characteristics of the experimental design on the behavior of two of these Bayesian models to identify the range of values that are most appropriate and give recommendations for decentralized experiments. We analyzed the estimates obtained by the models using different simulated datasets that differed by the values of the experimental design's parameters. While within-environment population effects were well estimated even with few replicated controls, replicating populations of interest rather than controls within environments and including enough environments provided more power to detect significant differences. Population effects and sensitivities over environments were mainly impacted by the number of replications of populations across environments, therefore effort should be made to repeat populations in more environments if the aim is to characterize their behavior under various environmental conditions.</t>
  </si>
  <si>
    <t>[van Frank, Gaelle; Goldringer, Isabelle] Univ Paris Saclay, AgroParisTech, CNRS, GQE Le Moulon,INRA,Univ Paris Sud, F-91190 Gif Sur Yvette, France; [Riviere, Pierre] Reseau Semences Paysannes, F-47190 Aiguillon, France; [David, Olivier] Univ Paris Saclay, MaIAGE, INRA, F-78350 Jouy En Josas, France</t>
  </si>
  <si>
    <t>Universite Paris Saclay; INRAE; AgroParisTech; Centre National de la Recherche Scientifique (CNRS); Universite Paris Saclay; INRAE</t>
  </si>
  <si>
    <t>van Frank, G (corresponding author), Univ Paris Saclay, AgroParisTech, CNRS, GQE Le Moulon,INRA,Univ Paris Sud, F-91190 Gif Sur Yvette, France.</t>
  </si>
  <si>
    <t>gaelle.van-frank@inra.fr</t>
  </si>
  <si>
    <t>van Frank, Gaelle/0000-0002-0618-8556</t>
  </si>
  <si>
    <t>European Union [633571]</t>
  </si>
  <si>
    <t>European Union(European Union (EU))</t>
  </si>
  <si>
    <t>We thank all the farmers and facilitators participating to the PPB project, as well as Alexandre Protat for assistance with programming the simulations. We also thank the reviewers for their helpful comments on improving the manuscript. This project has received funding from the European Union's Horizon 2020 research and innovation programme under Grant Agreement No 633571 (DIVERSIFOOD).</t>
  </si>
  <si>
    <t>JUL</t>
  </si>
  <si>
    <t>10.1007/s10681-019-2447-9</t>
  </si>
  <si>
    <t>IE6QB</t>
  </si>
  <si>
    <t>WOS:000472499600002</t>
  </si>
  <si>
    <t>Peltonen-Sainio, P; Jauhiainen, L; Palosuo, T; Hakala, K; Ruosteenoja, K</t>
  </si>
  <si>
    <t>Peltonen-Sainio, Pirjo; Jauhiainen, Lauri; Palosuo, Taru; Hakala, Kaija; Ruosteenoja, Kimmo</t>
  </si>
  <si>
    <t>Rainfed crop production challenges under European high-latitude conditions</t>
  </si>
  <si>
    <t>REGIONAL ENVIRONMENTAL CHANGE</t>
  </si>
  <si>
    <t>Biomass; Breeding; Climate change; Precipitation; Temperature; Yield</t>
  </si>
  <si>
    <t>CLIMATE-CHANGE; WATER-USE; PRECIPITATION; YIELD; NORTHERN; FINLAND; VARIABILITY; IMPROVEMENT; RAPESEED; CEREALS</t>
  </si>
  <si>
    <t>Global warming is likely to prolong the growing season at high latitudes where the brevity of the growing season currently limits crop growth and yields. A longer growing season, elevated atmospheric carbon dioxide (CO2), dedicated plant breeding, and adjusted agronomic practices could open new avenues to increase yield potential while reducing risks of various abiotic stresses such as inadequate precipitation. We used statistical and simulation modelling approaches to determine whether future estimates for elevated yield potentials match projected changes (according to the high-emission SRES A2 scenario) in precipitation patterns and volumes, essential prerequisites for high-latitude rainfed agroecosystems. The statistical approach used long-term data sets to estimate future changes in yield potentials resulting from extension of the growing season and new, better adapted cultivars through plant breeding. Estimated increases in potential yield and biomass were 20-54 kg ha(-1) per annum for grain or seed yield, depending on crop, excluding the effects of elevated (CO2). We also applied a crop simulation approach, using the WOFOST model, with barley (Hordeum vulgare L.) as a test crop, to simulate the impact of changing mean climate and the CO2 fertilisation on biomass development and yield formation under optimal nutrient supply, favourable soils, and complete plant protection. Elevated CO2 alleviated the drought effects. However, drought risk increased as the projected increases in precipitation seemed insufficient to meet the increasing needs of the potentially higher crop biomasses. Therefore, irrigation systems need to be developed to realise the future higher yield potentials in northern European agricultural systems.</t>
  </si>
  <si>
    <t>[Peltonen-Sainio, Pirjo; Jauhiainen, Lauri; Hakala, Kaija] Nat Resources Inst Finland Luke, Nat Resources &amp; Bioprod, Jokioinen 31600, Finland; [Palosuo, Taru] Latokartanonkaari 9, Helsinki 00790, Finland; [Ruosteenoja, Kimmo] Finnish Meteorol Inst, POb 503, Helsinki 00101, Finland</t>
  </si>
  <si>
    <t>Natural Resources Institute Finland (Luke); Finnish Meteorological Institute</t>
  </si>
  <si>
    <t>Peltonen-Sainio, P (corresponding author), Nat Resources Inst Finland Luke, Nat Resources &amp; Bioprod, Jokioinen 31600, Finland.</t>
  </si>
  <si>
    <t>pirjo.peltonen-sainio@luke.fi; lauri.jauhiainen@luke.fi; taru.palosuo@luke.fi; kaija.hakala@luke.fi; kimmo.ruosteenoja@fmi.fi</t>
  </si>
  <si>
    <t>Palosuo, Taru/B-9593-2012; Hakala, Kaija/E-3745-2017</t>
  </si>
  <si>
    <t>Palosuo, Taru/0000-0003-4322-3450; Hakala, Kaija/0000-0002-0172-1892; Jauhiainen, Lauri/0000-0003-2073-1057</t>
  </si>
  <si>
    <t>Finnish Ministry of Agriculture and Forestry; Natural Resources Institute Finland; project Improving Resilience to Climate Change and Variation Induced Risks in Agriculture (ILMAPUSKURI); project Water Management Systems to Improve Energy and Nutrient Use Efficiency of Field Crop Production in Changing Climate (VEHMAS)</t>
  </si>
  <si>
    <t>The climate model data were downloaded from the CMIP3 data archive (ftp-esg.ucllnl.org). The work was financed by the Finnish Ministry of Agriculture and Forestry and Natural Resources Institute Finland, projects Improving Resilience to Climate Change and Variation Induced Risks in Agriculture (ILMAPUSKURI) and Water Management Systems to Improve Energy and Nutrient Use Efficiency of Field Crop Production in Changing Climate (VEHMAS). Professor Reimund Rotter is acknowledged for providing model input suggestions for the crop simulation study. Research Scientist Jukka Hohn is acknowledged for climate data provision for crop simulation modelling.</t>
  </si>
  <si>
    <t>SPRINGER HEIDELBERG</t>
  </si>
  <si>
    <t>HEIDELBERG</t>
  </si>
  <si>
    <t>TIERGARTENSTRASSE 17, D-69121 HEIDELBERG, GERMANY</t>
  </si>
  <si>
    <t>1436-3798</t>
  </si>
  <si>
    <t>1436-378X</t>
  </si>
  <si>
    <t>REG ENVIRON CHANGE</t>
  </si>
  <si>
    <t>Reg. Envir. Chang.</t>
  </si>
  <si>
    <t>JUN</t>
  </si>
  <si>
    <t>10.1007/s10113-015-0875-1</t>
  </si>
  <si>
    <t>Environmental Sciences &amp; Ecology</t>
  </si>
  <si>
    <t>DM4JU</t>
  </si>
  <si>
    <t>WOS:000376314400023</t>
  </si>
  <si>
    <t>Shrote, RZ; Thompson, AM</t>
  </si>
  <si>
    <t>Shrote, Robert Z.; Thompson, Addie M.</t>
  </si>
  <si>
    <t>PyBrOpS: a Python package for breeding program simulation and optimization for multi-objective breeding</t>
  </si>
  <si>
    <t>stochastic simulation; Python; breeding programs; multi-objective optimization; Pareto frontier; multi-objective evolutionary algorithm</t>
  </si>
  <si>
    <t>GENOMIC SELECTION; GENETIC GAIN; ALGORITHM; PREDICTION; REGRESSION; DISTANCES; VALUES</t>
  </si>
  <si>
    <t>Plant breeding is a complex endeavor that is almost always multi-objective in nature. In recent years, stochastic breeding simulations have been used by breeders to assess the merits of alternative breeding strategies and assist in decision-making. In addition to simulations, visualization of a Pareto frontier for multiple competing breeding objectives can assist breeders in decision-making. This paper introduces Python Breeding Optimizer and Simulator (PyBrOpS), a Python package capable of performing multi-objective optimization of breeding objectives and stochastic simulations of breeding pipelines. PyBrOpS is unique among other simulation platforms in that it can perform multi-objective optimizations and incorporate these results into breeding simulations. PyBrOpS is built to be highly modular and has a script-based philosophy, making it highly extensible and customizable. In this paper, we describe some of the main features of PyBrOpS and demonstrate its ability to map Pareto frontiers for breeding possibilities and perform multi-objective selection in a simulated breeding pipeline.</t>
  </si>
  <si>
    <t>[Shrote, Robert Z.; Thompson, Addie M.] Michigan State Univ, Dept Plant Soil &amp; Microbial Sci, 1066 Bogue St, E Lansing, MI 48824 USA; [Thompson, Addie M.] Michigan State Univ, Plant Resilience Inst, E Lansing, MI 48824 USA</t>
  </si>
  <si>
    <t>Michigan State University; Michigan State University</t>
  </si>
  <si>
    <t>Shrote, RZ; Thompson, AM (corresponding author), Michigan State Univ, Dept Plant Soil &amp; Microbial Sci, 1066 Bogue St, E Lansing, MI 48824 USA.</t>
  </si>
  <si>
    <t>rzshrote@gmail.com; thom1718@msu.edu</t>
  </si>
  <si>
    <t>Thompson, Addie/0000-0002-4442-6578</t>
  </si>
  <si>
    <t>National Science Foundation Research Traineeship Program [DGE-1828149]; MSU Plant Science Fellowship; MSU startup funds</t>
  </si>
  <si>
    <t>National Science Foundation Research Traineeship Program; MSU Plant Science Fellowship; MSU startup funds</t>
  </si>
  <si>
    <t>This work is supported in part by the National Science Foundation Research Traineeship Program (DGE-1828149) and the MSU Plant Science Fellowship awarded to R.Z.S., in addition to MSU startup funds to A.M.T.</t>
  </si>
  <si>
    <t>SEP 9</t>
  </si>
  <si>
    <t>10.1093/g3journal/jkae199</t>
  </si>
  <si>
    <t>SEP 2024</t>
  </si>
  <si>
    <t>I0H0M</t>
  </si>
  <si>
    <t>gold, Green Submitted, Green Published</t>
  </si>
  <si>
    <t>WOS:001307856800001</t>
  </si>
  <si>
    <t>Anoshenko, BY</t>
  </si>
  <si>
    <t>Local adjustment method for field experiments .1. The method and its examination by computer simulation</t>
  </si>
  <si>
    <t>computer simulation; field experiments; local adjustment; moving average; neighbour methods; plant breeding; selection; spatial heterogeneity</t>
  </si>
  <si>
    <t>SELECTION; REPLICATION; VALUES</t>
  </si>
  <si>
    <t>The modification of 'the nearest neighbour' method for using various size plots in field trials has been developed and the results of testing its validity by computer simulation are presented. It was found that the Field-S variant of this method using a square pilot area is the best for fields with a low and medium spatial heterogeneity. The Field-L variant using the least quantity of neighbours, offers advantages for fields with a medium and high spatial effect. The optimal values of the controlling coefficients of these variants were computed to allow for the calculation of the environmental indices over a wide interval of spatial heterogeneity with sufficient accuracy. For this reason, this local adjustment method is recommended as an obligatory statistical procedure for a prior data analysis of any field experiments that have fulfilled the necessary requirements. The original Field and CRBSD programs using the local adjustment method developed have been created for IBM-compatible personal computers.</t>
  </si>
  <si>
    <t>BYELARUSSIAN ACAD SCI, INST CYTOL &amp; GENET, 27 SKARYNA ST, MINSK 220072, BELARUS.</t>
  </si>
  <si>
    <t>10.1007/BF00023852</t>
  </si>
  <si>
    <t>VB085</t>
  </si>
  <si>
    <t>WOS:A1996VB08500003</t>
  </si>
  <si>
    <t>Bink, MCAM; Uimari, P; Sillanpää, MJ; Janss, LLG; Jansen, RC</t>
  </si>
  <si>
    <t>Gallais, A; Dillmann, C; Goldringer, I</t>
  </si>
  <si>
    <t>Application of multiple QTL mapping in complex plant crosses to partial resistance to late blight (Phytophthora infestans) in potato:: better insight by using a design-independent method</t>
  </si>
  <si>
    <t>QUANTITATIVE GENETICS AND BREEDING METHODS: THE WAY AHEAD</t>
  </si>
  <si>
    <t>COLLOQUES DE L INRA</t>
  </si>
  <si>
    <t>11th Meeting of the EUCARPIA Section Biometrics in Plant Breeding</t>
  </si>
  <si>
    <t>AUG 30-SEP 01, 2000</t>
  </si>
  <si>
    <t>PARIS, FRANCE</t>
  </si>
  <si>
    <t>Agri Obtent,CETIOM,CETAC,EUCARPIA,GEVES,GNIS,INAPG,INRA,LIMAGRAIN,MONSANTO,NOVARTIS,PIONEER,UNIP</t>
  </si>
  <si>
    <t>QUANTITATIVE TRAIT LOCI; CHAIN MONTE-CARLO; LINKAGE ANALYSIS; FAMILIES</t>
  </si>
  <si>
    <t>We describe an application of a design-independent QTL mapping method to plant data. The method follows Bayesian principles and is facilitated by the use of Markov chain Monte Carlo simulation. The method was applied to data on six populations, resulting from controlled intercrosses between two wild and three cultivated genotypes of potato. Posterior statistics gave putative evidence of single QTL in each of the chromosomes 3, 4, 5, 6, and 10, while dominance was allowed in the genetic model. This analysis clearly illustrated the advantages of our approach for multiple QTL mapping in plant breeding.</t>
  </si>
  <si>
    <t>Plant Res Int, Ctr Biometry, NL-6700 AA Wageningen, Netherlands</t>
  </si>
  <si>
    <t>Bink, MCAM (corresponding author), Plant Res Int, Ctr Biometry, POB 16, NL-6700 AA Wageningen, Netherlands.</t>
  </si>
  <si>
    <t>INST NATL RECHERCHE AGRONOMIQUE</t>
  </si>
  <si>
    <t>PARIS</t>
  </si>
  <si>
    <t>147 RUE DE L'UNIVERSITE, 75007 PARIS, FRANCE</t>
  </si>
  <si>
    <t>0293-1915</t>
  </si>
  <si>
    <t>2-7380-0952-2</t>
  </si>
  <si>
    <t>COLLOQ INRA</t>
  </si>
  <si>
    <t>BR79C</t>
  </si>
  <si>
    <t>WOS:000167541400007</t>
  </si>
  <si>
    <t>Styczen, ME; Abrahamsen, P; Hansen, S; Knudsen, L</t>
  </si>
  <si>
    <t>Styczen, Merete E.; Abrahamsen, Per; Hansen, Soren; Knudsen, Leif</t>
  </si>
  <si>
    <t>Analysis of the significant drop in protein content in Danish grain crops from 1990-2015 based on N-response in fertilizer trials</t>
  </si>
  <si>
    <t>Winter wheat; Spring barley; Protein content; Plant breeding; Fertilization</t>
  </si>
  <si>
    <t>SPRING WHEAT; ELEVATED CO2; SIMULATION; QUALITY; GROWTH; BARLEY; YIELD</t>
  </si>
  <si>
    <t>A significant drop of 2.4-2.9 percentage-points (%-p) in crude protein content (on dry matter basis) in Danish grain crops was observed from around 1990 to 2015. The aim of the analysis was to quantify the effect of the change in N-response of varieties of winter wheat (WW) and spring barley (SB) under farmers' conditions based on approx. 1000 fertilizer trials with WW and 500 with SB carried out in farmers' fields from 1987 to 2015. Results indicated that for WW receiving 129-190 kg N/ha, DM yield increased 0.8-0.9 Mg/ha. The amount of harvested N in grain increased 5-11 kg N/ha, and % N in grain dropped by 0.1-0.05 %-points; the largest drop was found for low N-additions. For SB, receiving 93-129 kg N/ha, DM yield increased by 0.9-1.1 Mg/ha. The amount of harvested N in grain increased by 4-6 kg while the N % in grain dropped 0.2-0.24 %-points. For both crops, the effect of plant breeding is likely to be confounded with the effect of increased CO2. Adding up effects of changed N-response and fertilizer rates only explained part of the observed reduction in crude protein content.</t>
  </si>
  <si>
    <t>[Styczen, Merete E.; Abrahamsen, Per; Hansen, Soren] Univ Copenhagen, Dept Plant &amp; Environm Sci, Sect Environm Chem &amp; Phys, Agrohydrol, Thorvaldsensvej 40, DK-1871 Frederiksberg C, Denmark; [Knudsen, Leif] Danish Agr &amp; Food Council, SEGES, Agro Food Pk 15, DK-8200 Aarhus N, Denmark</t>
  </si>
  <si>
    <t>University of Copenhagen</t>
  </si>
  <si>
    <t>Styczen, ME; Abrahamsen, P; Hansen, S (corresponding author), Univ Copenhagen, Dept Plant &amp; Environm Sci, Sect Environm Chem &amp; Phys, Agrohydrol, Thorvaldsensvej 40, DK-1871 Frederiksberg C, Denmark.</t>
  </si>
  <si>
    <t>styczen@plen.ku.dk; pa@plen.ku.dk; sha@plen.ku.dk; lek@seges.dk</t>
  </si>
  <si>
    <t>; Styczen, Merete/E-6219-2015</t>
  </si>
  <si>
    <t>Abrahamsen, Per/0000-0002-4804-2758; Styczen, Merete/0000-0003-0420-2577</t>
  </si>
  <si>
    <t>Promilleafgiftsfonden for Landbrug, Denmark</t>
  </si>
  <si>
    <t>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Also thanks to Carl Thalbitzer, Danish Agricultural Agency (Formerly NaturErhverv) who lend us his personal archive of Guidelines concerning fertilization and land area rules from 1994 and forward.</t>
  </si>
  <si>
    <t>APR</t>
  </si>
  <si>
    <t>10.1016/j.eja.2020.126013</t>
  </si>
  <si>
    <t>LG6GN</t>
  </si>
  <si>
    <t>WOS:000528197200006</t>
  </si>
  <si>
    <t>Banterng, P; Patanothai, A; Pannangpetch, K; Jogloy, S; Hoogenboom, G</t>
  </si>
  <si>
    <t>Determination and evaluation of genetic coefficients of peanut lines for breeding applications</t>
  </si>
  <si>
    <t>peanut; simulation; evaluation; environmental interaction; CROPGRO-Peanut</t>
  </si>
  <si>
    <t>GROUNDNUT MODEL PNUTGRO; SIMULATION-MODEL; CROP RESPONSE; GROWTH; YIELD</t>
  </si>
  <si>
    <t>Application of a crop simulation model as a plant breeding tool requires cultivar-specific coefficients for a large number of breeding lines which are commonly not available. These cultivar coefficients are normally estimated from field experiments conducted under optimum conditions over several environments, that include a combination of multiple planting dates or locations. However, it is difficult to adhere to this recommendation when many genotypes are involved, such as in plant breeding applications. The objective of this study was to derive genetic coefficients of two groups of advanced peanut breeding lines based on experimental data collected during two growing seasons. The two groups investigated included 12 lines of the large-seeded Virginia type and 14 lines of the small-seeded Spanish type which were under multi-location evaluation at the regional yield trial stage in Thailand in 1998-1999. These lines were grown during the early-rainy season of 1999 and the dry season of 2000 at Khon Kaen University (KKU) in Northeast Thailand. Data were collected on plant development and growth characteristics, soil characteristics, weather and management as required for determining genetic coefficients of a new peanut cultivar. The data were then used for model calibration, using a stepwise procedure to derive the 15 genetic coefficients of the individual lines and cultivars required for the CROPGRO-Peanut model. The results showed that the derived genetic coefficients provided simulated values of various development and growth parameters that were in good agreement with their corresponding observed values for almost all parameters. Model evaluation with an independent data set of four peanut lines grown during the rainy and dry seasons of 2001 and 2002 gave similar results. The differences among breeding lines were also expressed through differences in the derived genetic coefficients. These results suggest that the genetic coefficients of peanut lines obtained from detailed experimental data for two distinct seasons are sufficiently accurate for further evaluation of the CROPGRO-Peanut model in breeding applications. (C) 2003 Elsevier B.V. All rights reserved.</t>
  </si>
  <si>
    <t>Univ Georgia, Dept Biol &amp; Agr Engn, Griffin, GA 30223 USA; Khon Kaen Univ, Fac Med, Dept Agron, Khon Kaen 40002, Thailand</t>
  </si>
  <si>
    <t>University System of Georgia; University of Georgia; Khon Kaen University</t>
  </si>
  <si>
    <t>Univ Georgia, Dept Biol &amp; Agr Engn, 1109 Expt St, Griffin, GA 30223 USA.</t>
  </si>
  <si>
    <t>gerrit@griffin.uga.edu</t>
  </si>
  <si>
    <t>Hoogenboom, Gerrit/F-3946-2010</t>
  </si>
  <si>
    <t>Banterng, Poramate/0000-0003-3535-8718</t>
  </si>
  <si>
    <t>10.1016/j.eja.2003.10.002</t>
  </si>
  <si>
    <t>868VZ</t>
  </si>
  <si>
    <t>WOS:000224942500003</t>
  </si>
  <si>
    <t>Heslot, N; Yang, HP; Sorrells, ME; Jannink, JL</t>
  </si>
  <si>
    <t>Heslot, Nicolas; Yang, Hsiao-Pei; Sorrells, Mark E.; Jannink, Jean-Luc</t>
  </si>
  <si>
    <t>Genomic Selection in Plant Breeding: A Comparison of Models</t>
  </si>
  <si>
    <t>QUANTITATIVE TRAITS; MOLECULAR MARKERS; PREDICTION; REGULARIZATION; POPULATION; NETWORKS; PEDIGREE; PACKAGE</t>
  </si>
  <si>
    <t>Simulation and empirical studies of genomic selection (GS) show accuracies sufficient to generate rapid genetic gains. However, with the increased popularity of GS approaches, numerous models have been proposed and no comparative analysis is available to identify the most promising ones. Using eight wheat (Triticum aestivum L.), barley (Hordeum vulgare L.), Arabidopsis thaliana (L.) Heynh., and maize (Zea mays L.) datasets, the predictive ability of currently available GS models along with several machine learning methods was evaluated by comparing accuracies, the genomic estimated breeding values (GEBVs), and the marker effects for each model. While a similar level of accuracy was observed for many models, the level of overfitting varied widely as did the computation time and the distribution of marker effect estimates. Our comparisons suggested that GS in plant breeding programs could be based on a reduced set of models such as the Bayesian Lasso, weighted Bayesian shrinkage regression (wBSR, a fast version of BayesB), and random forest (RF) (a machine learning method that could capture nonadditive effects). Linear combinations of different models were tested as well as bagging and boosting methods, but they did not improve accuracy. This study also showed large differences in accuracy between subpopulations within a dataset that could not always be explained by differences in phenotypic variance and size. The broad diversity of empirical datasets tested here adds evidence that GS could increase genetic gain per unit of time and cost.</t>
  </si>
  <si>
    <t>[Yang, Hsiao-Pei; Jannink, Jean-Luc] Cornell Univ, ARS, USDA, RW Holley Ctr Agr &amp; Hlth, Ithaca, NY 14853 USA; [Heslot, Nicolas; Sorrells, Mark E.] Cornell Univ, Dep Plant Breeding &amp; Genet, Ithaca, NY 14853 USA; [Heslot, Nicolas] ZAC Portes Riom, Limagrain Europe, F-63200 Riom, France</t>
  </si>
  <si>
    <t>Cornell University; United States Department of Agriculture (USDA); Cornell University</t>
  </si>
  <si>
    <t>Jannink, JL (corresponding author), Cornell Univ, ARS, USDA, RW Holley Ctr Agr &amp; Hlth, Ithaca, NY 14853 USA.</t>
  </si>
  <si>
    <t>Jannink, Jean-Luc/0000-0003-4849-628X</t>
  </si>
  <si>
    <t>USDA-NIFA-AFRI [2009-65300-05661, 2011-68002-30029]; USDA-NIFA National Research Initiative [2005-05130]; Microsoft Corporation; [Hatch 149-402]</t>
  </si>
  <si>
    <t>USDA-NIFA-AFRI(United States Department of Agriculture (USDA)); USDA-NIFA National Research Initiative; Microsoft Corporation(Microsoft);</t>
  </si>
  <si>
    <t>The authors thank P. Flament, S. Chauvet, and all the Limagrain Europe biostatistics team for their helpful suggestions. The USDA-NIFA-AFRI provided grant support (award numbers 2009-65300-05661 and 2011-68002-30029). Additional funding for this research was provided by USDA-NIFA National Research Initiative CAP grant No. 2005-05130 and by Hatch 149-402. Part of this work was carried out by using the resources of the Computational Biology Service Unit at Cornell University, which is partially funded by Microsoft Corporation.</t>
  </si>
  <si>
    <t>10.2135/cropsci2011.06.0297</t>
  </si>
  <si>
    <t>865CY</t>
  </si>
  <si>
    <t>WOS:000298289600016</t>
  </si>
  <si>
    <t>Tanaka, E</t>
  </si>
  <si>
    <t>Tanaka, Emi</t>
  </si>
  <si>
    <t>Simple outlier detection for a multi-environmental field trial</t>
  </si>
  <si>
    <t>BIOMETRICS</t>
  </si>
  <si>
    <t>anomaly detection; linear mixed models; multi-environmental field trials; outlier; outlier detection; plant breeding; residual analysis</t>
  </si>
  <si>
    <t>MAXIMUM-LIKELIHOOD-ESTIMATION; MIXED MODELS; INFORMATION; VARIETY; DIAGNOSTICS</t>
  </si>
  <si>
    <t>The aim of plant breeding trials is often to identify crop variety that are well adapt to target environments. These varieties are identified through genomic prediction from the analysis of multi-environmental field trial (MET) using linear mixed models. The occurrence of outliers in MET is common and known to adversely impact the accuracy of genomic prediction yet the detection of outliers are often neglected. A number of reasons stand for this-first, complex data such as a MET give rise to distinct levels of residuals (eg, at a trial level or individual observation level). This complexity offers additional challenges for an outlier detection method. Second, many linear mixed model software packages that cater for complex variance structures needed in the analysis of MET are not well streamlined for diagnostics by practitioners. We demonstrate outlier detection methods that are simple to implement in any linear mixed model software packages and computationally fast. Although these methods are not optimal methods in outlier detection, they offer practical value for ease of application in the analysis pipeline of regularly collected data. These are demonstrated using simulation based on two real bread wheat yield METs. In particular, models that consider analysis of yield trials either independently or jointly (thus borrowing strength across trials) are considered. Case studies are presented to highlight benefit of joint analysis for outlier detection.</t>
  </si>
  <si>
    <t>[Tanaka, Emi] Monash Univ, Dept Econometr &amp; Business Stat, Clayton, Vic, Australia; [Tanaka, Emi] Univ Sydney, Sch Math &amp; Stat, Camperdown, NSW, Australia</t>
  </si>
  <si>
    <t>Monash University; University of Sydney</t>
  </si>
  <si>
    <t>Tanaka, E (corresponding author), Monash Univ, Dept Econometr &amp; Business Stat, Clayton, Vic, Australia.</t>
  </si>
  <si>
    <t>emi.tanaka@monash.edu</t>
  </si>
  <si>
    <t>Tanaka, Emi/AFL-1141-2022</t>
  </si>
  <si>
    <t>0006-341X</t>
  </si>
  <si>
    <t>1541-0420</t>
  </si>
  <si>
    <t>Biometrics</t>
  </si>
  <si>
    <t>10.1111/biom.13216</t>
  </si>
  <si>
    <t>JAN 2020</t>
  </si>
  <si>
    <t>PD0ZZ</t>
  </si>
  <si>
    <t>WOS:000510173500001</t>
  </si>
  <si>
    <t>Chapman, SC</t>
  </si>
  <si>
    <t>Chapman, Scott C.</t>
  </si>
  <si>
    <t>Use of crop models to understand genotype by environment interactions for drought in real-world and simulated plant breeding trials</t>
  </si>
  <si>
    <t>crop physiology; crop simulation models; genotype by environment interaction; GxE; principal component analysis; PCA</t>
  </si>
  <si>
    <t>AFFECTING GRAIN-SORGHUM; TROPICAL MAIZE; SELECTION; WHEAT; TOLERANCE; COMPLEXITY; RESPONSES; PATTERNS; STRESS; GROWTH</t>
  </si>
  <si>
    <t>Crop simulation models of plant processes capture the biological interactions between the sensing of signals at an organ level (e.g. drought affecting roots), the response of the plant at a biochemical level (e.g. change in development rate) and the result at the organ (or crop) level (e.g. reduced growth). In dissecting the complex control of phenotypes like yield, simulation models have several roles. Models have been used to generate an index of the climatic environment (e.g. of drought stress) for breeding programme trials. In wheat and sorghum grown in northern Australia, this has shown that mid-season drought generates large genotype by environment interaction. By defining gene action to calculate the value of input trait parameters to crop models, simulated multi-environment trials estimate the yield of 'synthetic' sorghum cultivars grown in historical or artificial climates with current or potential management regimes. In this way, the biological interactions among traits constrain the crop yields to only those that are biologically possible in the given set of environments. This allows the construction of datasets that are more 'realistic' representations of gene by trait by environment interaction than is possible using only the statistical attributes (e.g. means, variances and correlations) of real-world trait datasets. This approach has an additional advantage in that 'biological and experimental noise' can be manipulated separately. These 'testbeds' for statistical techniques can be extended to the interpretation of a crossing and selection programme where the processes of chromosomal recombination are simulated using a quantitative genetics model and applied to the trait parameters. Statisticians are challenged to develop improved methods for the resulting simulated phenotype datasets, with the objective of revealing the (known) underlying genetic and environment structure that was input to the simulations. These improved methods can then be applied to existing plant breeding programmes.</t>
  </si>
  <si>
    <t>[Chapman, Scott C.] Queensland Biosci Precinct, CSIRO Plant Ind, St Lucia, Qld, Australia</t>
  </si>
  <si>
    <t>Chapman, SC (corresponding author), Queensland Biosci Precinct, CSIRO Plant Ind, 305 Carmody Rd, St Lucia, Qld, Australia.</t>
  </si>
  <si>
    <t>scott.chapman@csiro.au</t>
  </si>
  <si>
    <t>Chapman, Scott/B-9673-2008</t>
  </si>
  <si>
    <t>Chapman, Scott/0000-0003-4732-8452</t>
  </si>
  <si>
    <t>1-2</t>
  </si>
  <si>
    <t>10.1007/s10681-007-9623-z</t>
  </si>
  <si>
    <t>286WX</t>
  </si>
  <si>
    <t>WOS:000254877800018</t>
  </si>
  <si>
    <t>Piepho, HP; Emrich, K</t>
  </si>
  <si>
    <t>Simultaneous confidence intervals for two estimable functions and their ratio under a linear model</t>
  </si>
  <si>
    <t>AMERICAN STATISTICIAN</t>
  </si>
  <si>
    <t>coverage probability; dominance ratio; Fieller's theorem; heterosis</t>
  </si>
  <si>
    <t>THEOREM</t>
  </si>
  <si>
    <t>This article considers the problem of finding simultaneous confidence intervals for two estimable functions of linear model parameters and their ratio. A pertinent example is the dominance ratio in crossing experiments with plants and animals, which is computed from an estimate of the dominance and additive gene effects. Breeders are usually interested in inferences on the ratio along with the effect estimates. We investigate several solutions to the problem. One proposal uses a plug-in approach, based on the multivariate-t distribution, which is shown by simulation to have good small-sample properties. A conservative method is proposed, which operates under a worst-case scenario. Both methods yield simultaneous coverage probabilities closer to the nominal level than the Scheffe or Bonferrom method. The methods are illustrated using two real examples, one from the Child Health and Development Studies and one from plant breeding. A small simulation study is performed to compare alternative approaches.</t>
  </si>
  <si>
    <t>Univ Hohenheim, Fachgebiet Bioinformat, Inst Pflanzebau &amp; Grunland, D-70599 Stuttgart, Germany</t>
  </si>
  <si>
    <t>Univ Hohenheim, Fachgebiet Bioinformat, Inst Pflanzebau &amp; Grunland, Fruwirthstr 23, D-70599 Stuttgart, Germany.</t>
  </si>
  <si>
    <t>0003-1305</t>
  </si>
  <si>
    <t>1537-2731</t>
  </si>
  <si>
    <t>AM STAT</t>
  </si>
  <si>
    <t>Am. Stat.</t>
  </si>
  <si>
    <t>10.1198/000313005X70605</t>
  </si>
  <si>
    <t>Statistics &amp; Probability</t>
  </si>
  <si>
    <t>977OD</t>
  </si>
  <si>
    <t>WOS:000232812200004</t>
  </si>
  <si>
    <t>Dourleijn, J</t>
  </si>
  <si>
    <t>A case study of subset selection in sugar beet breeding</t>
  </si>
  <si>
    <t>JOURNAL OF STATISTICAL PLANNING AND INFERENCE</t>
  </si>
  <si>
    <t>plant breeding; selection; statistical selection; subset selection; sugar beet breeding</t>
  </si>
  <si>
    <t>In this paper we study the application of subset selection in the process of breeding sugar beet varieties. There, series of field experiments with unbalanced, incomplete block designs are performed. The selection is mainly based on mean performance variety values, but also on variety values at the individual sites. The varieties are selected on the basis of various characters. To be able to apply subset selection, several obstacles had to be taken. Selection rules were modified and software was developed to approximate the necessary selection constants using simulation. Also, software was developed to execute the selection rules. It is concluded that subset selection can be successfully used in the breeding practice, although it cannot replace the experienced plant breeder.</t>
  </si>
  <si>
    <t>AGR UNIV WAGENINGEN,DEPT MATH,NL-6703 HA WAGENINGEN,NETHERLANDS</t>
  </si>
  <si>
    <t>Wageningen University &amp; Research</t>
  </si>
  <si>
    <t>ELSEVIER SCIENCE BV</t>
  </si>
  <si>
    <t>PO BOX 211, 1000 AE AMSTERDAM, NETHERLANDS</t>
  </si>
  <si>
    <t>0378-3758</t>
  </si>
  <si>
    <t>J STAT PLAN INFER</t>
  </si>
  <si>
    <t>J. Stat. Plan. Infer.</t>
  </si>
  <si>
    <t>SEP 30</t>
  </si>
  <si>
    <t>10.1016/0378-3758(95)00176-X</t>
  </si>
  <si>
    <t>VD388</t>
  </si>
  <si>
    <t>WOS:A1996VD38800006</t>
  </si>
  <si>
    <t>Zhang, LY; Li, HH; Wang, JK</t>
  </si>
  <si>
    <t>Zhang, Luyan; Li, Huihui; Wang, Jiankang</t>
  </si>
  <si>
    <t>Blib is a multi-module simulation platform for genetics studies and intelligent breeding</t>
  </si>
  <si>
    <t>COMMUNICATIONS BIOLOGY</t>
  </si>
  <si>
    <t>INTEGRATED SOFTWARE; COMPUTER-SIMULATION; SAMPLING THEORY; CLONAL F-1; POPULATIONS; SELECTION; IMPROVEMENT; QUALITY; 4-WAY</t>
  </si>
  <si>
    <t>Simulation is an efficient approach for the investigation of theoretical and applied issues in population and quantitative genetics, and animal and plant breeding. In this study, we report a multi-module simulation platform called Blib, that is able to handle more complicated genetic effects and models than existing tools. Two derived data types are first defined in Blib, one to hold the required information on genetic models, and the other one to represent the genetics and breeding populations. A number of subroutines are then developed to perform specific tasks. Four case studies are present as examples to show the applications of Blib, i.e., genetic drift of multiple alleles in randomly mating populations, joint effects of neutral mutation and genetic drift, comparison of mass versus family selection, and choice of testers in hybrid breeding. Blib together with its application modules, has great potential to benefit theoretical genetic studies and intelligent breeding by simulating and predicting outcomes in a large number of scenarios, and identifying the best optimum selection and crossing schemes. Blib handles complex genetic effects and simulates large amounts of scenarios to identify the most optimum selection and cross schemes for intelligent breeding.</t>
  </si>
  <si>
    <t>[Zhang, Luyan; Li, Huihui; Wang, Jiankang] Chinese Acad Agr Sci CAAS, Natl Key Facil Crop Gene Resources &amp; Genet Improv, Beijing 100081, Peoples R China; [Zhang, Luyan; Li, Huihui; Wang, Jiankang] Chinese Acad Agr Sci CAAS, Inst Crop Sci, Beijing 100081, Peoples R China; [Li, Huihui; Wang, Jiankang] Chinese Acad Agr Sci CAAS, Natl Nanfan Res Inst Sanya, Sanya 572024, Hainan, Peoples R China</t>
  </si>
  <si>
    <t>Chinese Academy of Agricultural Sciences; Chinese Academy of Agricultural Sciences; Institute of Crop Sciences, CAAS; Chinese Academy of Agricultural Sciences</t>
  </si>
  <si>
    <t>Wang, JK (corresponding author), Chinese Acad Agr Sci CAAS, Natl Key Facil Crop Gene Resources &amp; Genet Improv, Beijing 100081, Peoples R China.;Wang, JK (corresponding author), Chinese Acad Agr Sci CAAS, Inst Crop Sci, Beijing 100081, Peoples R China.;Wang, JK (corresponding author), Chinese Acad Agr Sci CAAS, Natl Nanfan Res Inst Sanya, Sanya 572024, Hainan, Peoples R China.</t>
  </si>
  <si>
    <t>wangjiankang@caas.cn</t>
  </si>
  <si>
    <t>Wang, Jiankang/0000-0002-8069-5329</t>
  </si>
  <si>
    <t>National Natural Science Foundation of China [31861143003]; Agricultural Science and Technology Innovation Program of CAAS</t>
  </si>
  <si>
    <t>National Natural Science Foundation of China(National Natural Science Foundation of China (NSFC)); Agricultural Science and Technology Innovation Program of CAAS</t>
  </si>
  <si>
    <t>This work was supported by the National Natural Science Foundation of China (Project No. 31861143003), and The Agricultural Science and Technology Innovation Program of CAAS.</t>
  </si>
  <si>
    <t>2399-3642</t>
  </si>
  <si>
    <t>COMMUN BIOL</t>
  </si>
  <si>
    <t>Commun. Biol.</t>
  </si>
  <si>
    <t>NOV 3</t>
  </si>
  <si>
    <t>10.1038/s42003-022-04151-9</t>
  </si>
  <si>
    <t>Life Sciences &amp; Biomedicine - Other Topics; Science &amp; Technology - Other Topics</t>
  </si>
  <si>
    <t>5W9BS</t>
  </si>
  <si>
    <t>WOS:000878203400001</t>
  </si>
  <si>
    <t>Sermarini, RA; Brien, C; Demétrio, CGB; dos Santos, A</t>
  </si>
  <si>
    <t>Sermarini, Renata Alcarde; Brien, Chris; Borges Demetrio, Clarice Garcia; dos Santos, Alessandra</t>
  </si>
  <si>
    <t>Impact on genetic gain from using misspecified statistical models in generating p-rep designs for early generation plant-breeding experiments</t>
  </si>
  <si>
    <t>ROW-COLUMN DESIGNS; VARIETY TRIALS; OPTIMALITY</t>
  </si>
  <si>
    <t>This paper is concerned with the generation of designs for early generation, plant-breeding experiments that use limited experimental resources as efficiently as possible to maximize the realized genetic gain (RGG) resulting from the selection of lines. A number of authors have demonstrated that partially replicated (p-rep) designs for such experiments, in which the percentage of lines that are duplicated is p, are likely to be more efficient than grid-plot designs. Therefore, our aim is to obtain the most efficient p-rep design for an experiment using one of two distinctly different criteria and employing widely or readily available statistical software packages to search for an optimal design. However, this can be difficult because knowledge of the sources of variation and their magnitudes is required and is often unavailable. To overcome this impediment, a comprehensive simulation experiment was conducted to investigate whether designs that are robust to a wide range of experimental situations can be identified. Designs with p set to 20% and for different experimental situations are generated and the performance of each tested for 24 different variation scenarios. We concluded that for large experiments, the RGG obtained with various optimal designs is indeed not affected by the different variation scenarios and that resolved designs for fixed genetic effects should be generated for robustness. On the other hand, the design assumptions affect the RGG for small p-rep designs. Even so, an overall recommendation is made.</t>
  </si>
  <si>
    <t>[Sermarini, Renata Alcarde; Borges Demetrio, Clarice Garcia; dos Santos, Alessandra] Univ Sao Paulo, Luiz de Queiroz Coll Agr ESALQ, Piracicaba, SP, Brazil; [Brien, Chris] Univ South Australia, UniSA STEM, Adelaide, SA, Australia; [Brien, Chris] Univ Adelaide, Sch Agr Food &amp; Wine, Adelaide, SA, Australia; [dos Santos, Alessandra] Western Parana State Univ UNIOESTE, Ctr Exact &amp; Technol Sci, Cascavel, Parana, Brazil</t>
  </si>
  <si>
    <t>Universidade de Sao Paulo; University of South Australia; University of Adelaide; Universidade Estadual do Oeste do Parana</t>
  </si>
  <si>
    <t>Sermarini, RA (corresponding author), Univ Sao Paulo, Luiz de Queiroz Coll Agr ESALQ, Piracicaba, SP, Brazil.</t>
  </si>
  <si>
    <t>ralcarde@usp.br</t>
  </si>
  <si>
    <t>Demetrio, Clarice Garcia Borges/I-5263-2012; Brien, Chris/D-5630-2009; Sermarini, Renata Alcarde/D-5570-2015</t>
  </si>
  <si>
    <t>Demetrio, Clarice Garcia Borges/0000-0002-3609-178X; dos Santos, Alessandra/0000-0002-5675-0770; Brien, Chris/0000-0003-0581-1817; Sermarini, Renata Alcarde/0000-0001-6425-9626</t>
  </si>
  <si>
    <t>Fundacao deAmparo a Pesquisa do Estado de Sao Paulo [2016/26003-4]; Fundacao de Amparo a Pesquisa do Estado de Sao Paulo (FAPESP) [16/26003-4] Funding Source: FAPESP</t>
  </si>
  <si>
    <t>Fundacao deAmparo a Pesquisa do Estado de Sao Paulo(Fundacao de Amparo a Pesquisa do Estado de Sao Paulo (FAPESP)); Fundacao de Amparo a Pesquisa do Estado de Sao Paulo (FAPESP)(Fundacao de Amparo a Pesquisa do Estado de Sao Paulo (FAPESP))</t>
  </si>
  <si>
    <t>Fundacao deAmparo a Pesquisa do Estado de Sao Paulo, Grant/Award Number: 2016/26003-4</t>
  </si>
  <si>
    <t>NOV-DEC</t>
  </si>
  <si>
    <t>10.1002/csc2.20257</t>
  </si>
  <si>
    <t>QE1RT</t>
  </si>
  <si>
    <t>WOS:000615988600019</t>
  </si>
  <si>
    <t>Heslot, N; Jannink, JL; Sorrells, ME</t>
  </si>
  <si>
    <t>Heslot, Nicolas; Jannink, Jean-Luc; Sorrells, Mark E.</t>
  </si>
  <si>
    <t>Perspectives for Genomic Selection Applications and Research in Plants</t>
  </si>
  <si>
    <t>MARKER-ASSISTED SELECTION; HEAD BLIGHT RESISTANCE; GENOMEWIDE SELECTION; PREDICTION ACCURACY; QUANTITATIVE TRAITS; MOLECULAR MARKERS; DROUGHT TOLERANCE; PEDIGREE; DESIGN; TRIALS</t>
  </si>
  <si>
    <t>Genomic selection (GS) has created a lot of excitement and expectations in the animal-and plant-breeding research communities. In this review, we briefly describe how genomic prediction can be integrated into breeding efforts and point out achievements and areas where more research is needed. Genomic selection provides many opportunities to increase genetic gain in plant breeding per unit time and cost. Early empirical and simulation results are promising, but for GS to deliver genetic gains, careful consideration of the problem of optimal resource allocation is needed. Consideration of the cost-benefit balance of using markers for each trait and stage of the breeding cycle is needed, moving beyond only focusing on recurrent selection with GS on a few complex traits, using prediction on unphenotyped individuals. With decreasing marker cost, phenotype data is quickly becoming the most valuable asset and marker-assisted selection strategies should focus on making the most of scarce and expensive phenotypes. It is important to realize that markers can also improve accuracy of selection for phenotyped individuals. Use of markers as an aid to phenotype analysis suggests a number of new strategies in terms of experimental design and multi-trait models. GS also provides new ways to analyze and deal with genotype by environment interactions. Lastly, we point to some recent results showing that new models are needed to improve predictions particularly with respect to the use of distantly related individuals in the training population.</t>
  </si>
  <si>
    <t>[Heslot, Nicolas; Jannink, Jean-Luc; Sorrells, Mark E.] Cornell Univ, Dept Genet &amp; Plant Breeding, Ithaca, NY 14853 USA; [Jannink, Jean-Luc] Cornell Univ, USDA ARS, RW Holley Ctr Agr &amp; Hlth, Ithaca, NY 14853 USA; [Heslot, Nicolas] Limagrain Europe, F-63720 Chappes, France</t>
  </si>
  <si>
    <t>Sorrells, ME (corresponding author), Cornell Univ, Dept Genet &amp; Plant Breeding, 240 Emerson Hall, Ithaca, NY 14853 USA.</t>
  </si>
  <si>
    <t>mes12@cornell.edu</t>
  </si>
  <si>
    <t>USDA-NIFA-AFRI [2009-65300-05661, 2011-68002-30029, 2005-05130]; Hatch project [149-449]; Limagrain Europe</t>
  </si>
  <si>
    <t>USDA-NIFA-AFRI(United States Department of Agriculture (USDA)); Hatch project(United States Department of Agriculture (USDA)); Limagrain Europe</t>
  </si>
  <si>
    <t>This research was supported in part by USDA-NIFA-AFRI grants, award numbers 2009-65300-05661, 2011-68002-30029, and 2005-05130, and by Hatch project 149-449. Limagrain Europe provided financial support for N. Heslot.</t>
  </si>
  <si>
    <t>10.2135/cropsci2014.03.0249</t>
  </si>
  <si>
    <t>CE7DK</t>
  </si>
  <si>
    <t>WOS:000351997300001</t>
  </si>
  <si>
    <t>Silva, GN; Tomaz, RS; Sant'Anna, ID; Nascimento, M; Bherine, LL; Cruz, CD</t>
  </si>
  <si>
    <t>Silva, Gabi Nunes; Tomaz, Rafael Simoes; Sant'Anna, Isabela de Castro; Nascimento, Moyses; Bherine, Leonardo Lopes; Cruz, Cosme Damiao</t>
  </si>
  <si>
    <t>Neural networks for predicting breeding values and genetic gains</t>
  </si>
  <si>
    <t>SCIENTIA AGRICOLA</t>
  </si>
  <si>
    <t>genetic value; statistics; simulation; artificial intelligence; training strategy</t>
  </si>
  <si>
    <t>SELECTION</t>
  </si>
  <si>
    <t>Analysis using Artificial Neural Networks has been described as an approach in the decision-making process that, although incipient, has been reported as presenting high potential for use in animal and plant breeding. In this study, we introduce the procedure of using the expanded data set for training the network. Wealso proposed using statistical parameters to estimate the breeding value of genotypes in simulated scenarios, in addition to the mean pheno-typic value in a feed-forward back propagation multilayer perceptron network. After evaluating artificial neural network configurations, our results showed its superiority to estimates based on linear models, as well as its applicability in the genetic value prediction process. The results further indicated the good generalization performance of the neural network model in several additional validation experiments.</t>
  </si>
  <si>
    <t>[Silva, Gabi Nunes; Nascimento, Moyses; Cruz, Cosme Damiao] Univ Fed Vicosa, Dept Appl Stat &amp; Biometr, BR-36570000 Vicosa, MG, Brazil; [Tomaz, Rafael Simoes; Sant'Anna, Isabela de Castro; Bherine, Leonardo Lopes; Cruz, Cosme Damiao] Univ Fed Vicosa, Dept Gen Biol, Bioinformat Lab BIOAGRO, BR-36570000 Vicosa, MG, Brazil</t>
  </si>
  <si>
    <t>Silva, GN (corresponding author), Univ Fed Vicosa, Dept Appl Stat &amp; Biometr, Av PH Rolfs S-N,Univ Campus, BR-36570000 Vicosa, MG, Brazil.</t>
  </si>
  <si>
    <t>gabi.nunessilva@yahoo.com.br</t>
  </si>
  <si>
    <t>Nascimento, Moyses/Y-8767-2019; Bhering, Leonardo/AAK-9548-2020; Tomaz, Rafael/AAD-3302-2020; 'Anna, Isabela/V-6883-2018</t>
  </si>
  <si>
    <t>Bhering, Leonardo/0000-0002-6072-0996; Simoes Tomaz, Rafael/0000-0002-5700-5983</t>
  </si>
  <si>
    <t>CAPES - Coordination for the Improvement of Higher Level Personnel; FAPEMIG - Minas Gerais State Foundation; CNPq - Brazilian National Council for Scientific and Technological Development,</t>
  </si>
  <si>
    <t>CAPES - Coordination for the Improvement of Higher Level Personnel(Coordenacao de Aperfeicoamento de Pessoal de Nivel Superior (CAPES)); FAPEMIG - Minas Gerais State Foundation(Fundacao de Amparo a Pesquisa do Estado de Minas Gerais (FAPEMIG)); CNPq - Brazilian National Council for Scientific and Technological Development,(Conselho Nacional de Desenvolvimento Cientifico e Tecnologico (CNPQ))</t>
  </si>
  <si>
    <t>To CAPES - Coordination for the Improvement of Higher Level Personnel, FAPEMIG - Minas Gerais State Foundation for Research Support and CNPq - Brazilian National Council for Scientific and Technological Development, for financial support and scholarships granted.</t>
  </si>
  <si>
    <t>UNIV SAO PAOLO</t>
  </si>
  <si>
    <t>CERQUERA CESAR</t>
  </si>
  <si>
    <t>AV DR ENEAS DE CARVALHO AGUIAR, 419, CERQUERA CESAR, SP 05403-000, BRAZIL</t>
  </si>
  <si>
    <t>0103-9016</t>
  </si>
  <si>
    <t>SCI AGR</t>
  </si>
  <si>
    <t>Sci. Agric.</t>
  </si>
  <si>
    <t>10.1590/0103-9016-2014-0057</t>
  </si>
  <si>
    <t>AW6RB</t>
  </si>
  <si>
    <t>Green Submitted, Green Published, gold</t>
  </si>
  <si>
    <t>WOS:000346395100008</t>
  </si>
  <si>
    <t>Muchow, RC; Kropff, MJ</t>
  </si>
  <si>
    <t>Assessing the potential yield of tropical crops: Role of field experimentation and simulation</t>
  </si>
  <si>
    <t>solar radiation; temperature; field productivity; simulation</t>
  </si>
  <si>
    <t>This review assesses the role of field experimentation and simulation in better quantifying the potential productivity in different environments, and examines how knowledge on potential productivity can improve the efficiency of the production system. Case studies are presented for the tropical crops maize and rice to highlight the importance of temporal and spatial variation in climatic factors on the yield performance of high-input systems. The key role of field experimentation is to quantify the impacts of temperature and solar radiation on resource capture and resource utilization for a given variety. There is a need to collect minimum data sets of key crop, soil, management and climate variables, and to ensure that climatic data, particularly solar radiation, are regularly calibrated. When knowledge from field experimentation is encapsulated into crop growth simulation models, the gap between actual and potential yield for a given environment can be determined and opportunities for yield improvement can be assessed. Simulation can also be used to quantify temporal and spatial variation in productivity, for use in planning future world food supplies. Given that scope for raising maximum yields is limited, the focus of production research should be on narrowing the gap between actual and potential yields and on the maintenance of maximum yields. By characterizing the frequency of occurrence of constraints in different regions, crop simulation can potentially enhance the efficiency of plant breeding. Given the potential negative impacts of high-input agriculture on the environment, simulation can identify best-practice management options to better align resource supply with crop demand. The development of electronic data bases of climate, soil, management and crop growth data is a priority need, so that the synergy between field experimentation and simulation can be maximized.</t>
  </si>
  <si>
    <t>Muchow, RC (corresponding author), CSIRO,DIV TROP CROPS &amp; PASTURES,306 CARMODY RD,ST LUCIA,QLD 4067,AUSTRALIA.</t>
  </si>
  <si>
    <t>Kropff, Martinus/L-4931-2017</t>
  </si>
  <si>
    <t>WOS:A1997BH23W00007</t>
  </si>
  <si>
    <t>Bocianowski, J; Nowosad, K</t>
  </si>
  <si>
    <t>Bocianowski, Jan; Nowosad, Kamila</t>
  </si>
  <si>
    <t>Mixed linear model approaches in mapping QTLs with epistatic effects by a simulation study</t>
  </si>
  <si>
    <t>Additive-by-additive interaction effect; Estimation; Homozygous lines; Mixed-model; Monte Carlo simulation study</t>
  </si>
  <si>
    <t>QUANTITATIVE TRAIT LOCI; INBRED RICE POPULATION; GRAIN-YIELD; GENETIC ARCHITECTURE; ADDITIVE INTERACTION; LIKELIHOOD METHOD; KERNEL HARDNESS; MARKER DATA; PEDIGREE; REGRESSION</t>
  </si>
  <si>
    <t>Epistasis refers to the phenotypic effects of interactions between alleles of different loci. Statistical detection of such interactions remains to be the subject of presented studies. A method based on mixed linear model was developed for mapping QTLs with digenic epistasis. Reliable estimates of QTL additive and epistasis effects can be obtained by the maximum-likelihood estimate methods. Likelihood ratio and t statistics were combined for testing hypotheses about QTL effects (additive and epistasis effects). Monte Carlo simulations were conducted for evaluating the unbiasedness, accuracy and power for parameter estimation in QTL mapping. The results indicated that the mixed-model approaches could provide unbiased estimates for effects of QTLs. Additionally, the mixed-model approaches also showed high accuracy in mapping QTLs with epistasis effects. The information obtained in this study will be useful for manipulating the QTLs for plant breeding by marker assisted selection.</t>
  </si>
  <si>
    <t>[Bocianowski, Jan] Poznan Univ Life Sci, Dept Math &amp; Stat Methods, PL-60637 Poznan, Poland; [Nowosad, Kamila] Wroclaw Univ Environm &amp; Life Sci, Dept Genet Plant Breeding &amp; Seed Prod, PL-53363 Wroclaw, Poland</t>
  </si>
  <si>
    <t>Poznan University of Life Sciences; Wroclaw University of Environmental &amp; Life Sciences</t>
  </si>
  <si>
    <t>Bocianowski, J (corresponding author), Poznan Univ Life Sci, Dept Math &amp; Stat Methods, Wojska Polskiego 28, PL-60637 Poznan, Poland.</t>
  </si>
  <si>
    <t>jboc@up.poznan.pl</t>
  </si>
  <si>
    <t>Bocianowski, Jan/T-7612-2019</t>
  </si>
  <si>
    <t>Bocianowski, Jan/0000-0002-0102-0084; Nowosad, Kamila/0000-0001-6837-7806</t>
  </si>
  <si>
    <t>10.1007/s10681-014-1329-4</t>
  </si>
  <si>
    <t>CD7SG</t>
  </si>
  <si>
    <t>WOS:000351291100011</t>
  </si>
  <si>
    <t>Rötter, RP; Tao, F; Höhn, JG; Palosuo, T</t>
  </si>
  <si>
    <t>Rotter, R. P.; Tao, F.; Hohn, J. G.; Palosuo, T.</t>
  </si>
  <si>
    <t>Use of crop simulation modelling to aid ideotype design of future cereal cultivars</t>
  </si>
  <si>
    <t>Cereals; climate extremes; crop growth simulation; ensemble modelling; future cultivars; genetic modelling; ideotype breeding; model improvement; model-aided design</t>
  </si>
  <si>
    <t>RECOMBINANT INBRED LINES; CLIMATE-CHANGE IMPACTS; FLOWERING PHENOLOGY; MAIZE PRODUCTION; GROWTH; WHEAT; YIELD; TEMPERATURE; WEATHER; RESPONSES</t>
  </si>
  <si>
    <t>A major challenge of the 21st century is to achieve food supply security under a changing climate and roughly a doubling in food demand by 2050 compared to present, the majority of which needs to be met by the cereals wheat, rice, maize, and barley. Future harvests are expected to be especially threatened through increased frequency and severity of extreme events, such as heat waves and drought, that pose particular challenges to plant breeders and crop scientists. Process-based crop models developed for simulating interactions between genotype, environment, and management are widely applied to assess impacts of environmental change on crop yield potentials, phenology, water use, etc. During the last decades, crop simulation has become important for supporting plant breeding, in particular in designing ideotypes, i.e. 'model plants', for different crops and cultivation environments. In this review we (i) examine the main limitations of crop simulation modelling for supporting ideotype breeding, (ii) describe developments in cultivar traits in response to climate variations, and (iii) present examples of how crop simulation has supported evaluation and design of cereal cultivars for future conditions. An early success story for rice demonstrates the potential of crop simulation modelling for ideotype breeding. Combining conventional crop simulation with new breeding methods and genetic modelling holds promise to accelerate delivery of future cereal cultivars for different environments. Robustness of model-aided ideotype design can further be enhanced through continued improvements of simulation models to better capture effects of extremes and the use of multi-model ensembles.</t>
  </si>
  <si>
    <t>[Rotter, R. P.; Tao, F.; Hohn, J. G.; Palosuo, T.] Nat Resources Inst Finland Luke, Helsinki 00790, Finland</t>
  </si>
  <si>
    <t>Natural Resources Institute Finland (Luke)</t>
  </si>
  <si>
    <t>Rötter, RP (corresponding author), Nat Resources Inst Finland Luke, Helsinki 00790, Finland.</t>
  </si>
  <si>
    <t>reimund.rotter@luke.fi</t>
  </si>
  <si>
    <t>Rotter, Reimund P./Y-9579-2019; Palosuo, Taru/B-9593-2012</t>
  </si>
  <si>
    <t>Rotter, Reimund P./0000-0002-3804-9964; Tao, F/0000-0001-8574-0080; Palosuo, Taru/0000-0003-4322-3450</t>
  </si>
  <si>
    <t>Academy of Finland through the NORFASYS project [268277]; Finnish Ministry of Agriculture and Forestry (MMM) through FACCE-Macsur; MTT Agrifood Research Finland through the strategic MODAGS project</t>
  </si>
  <si>
    <t>Academy of Finland through the NORFASYS project(Research Council of Finland); Finnish Ministry of Agriculture and Forestry (MMM) through FACCE-Macsur; MTT Agrifood Research Finland through the strategic MODAGS project</t>
  </si>
  <si>
    <t>This work was supported by the Academy of Finland through the NORFASYS project (decision no. 268277), by the Finnish Ministry of Agriculture and Forestry (MMM) through FACCE-Macsur and by MTT Agrifood Research Finland through the strategic MODAGS project.</t>
  </si>
  <si>
    <t>10.1093/jxb/erv098</t>
  </si>
  <si>
    <t>CL0XD</t>
  </si>
  <si>
    <t>WOS:000356665500004</t>
  </si>
  <si>
    <t>HOOGENBOOM, G; WHITE, JW; JONES, JW; BOOTE, KJ</t>
  </si>
  <si>
    <t>BEANGRO - A PROCESS-ORIENTED DRY BEAN MODEL WITH A VERSATILE USER-INTERFACE</t>
  </si>
  <si>
    <t>AGRONOMY JOURNAL</t>
  </si>
  <si>
    <t>SIMULATION</t>
  </si>
  <si>
    <t>Microcomputer-based crop simulation models are increasingly used in agricultural research. Although most models have been developed for specific applications, there is a trend toward developing more versatile models, with user interfaces that permit a wide range of applications without the user having to modify the model structure. BEANGRO is such a versatile, user-friendly simulation model for dry bean (Phaseolus vulgaris L.). It is written in the FORTRAN computer language and operates on personal computers. The flexible user interface allows researchers to specify diverse model inputs and outputs, easily compare simulation results with observed data, and conduct simulation experiments interactively through menu-driven options for sensitivity analysis. BEANGRO follows the standard file formats of the Decision Support System for Agrotechnology Transfer (DSSAT) software system, and may be used within DSSAT to assess effects of different agricultural management practices for runs over multiple years using either historical or generated weather data. The model responds to environmental variables (including air temperature, solar radiation, precipitation, and soil moisture retention characteristics), as well as to crop management conditions. Cultivar traits are specified through an input file, and traits may be modified interactively. BEANGRO operates at daily time steps and simulates bean growth and development from planting until harvest maturity. This traditional process-oriented dry bean model and its user interface has created an interest among nontraditional modeler users and has been distributed to researchers for application in various projects, ranging from land-use planning to plant breeding and plant physiology.</t>
  </si>
  <si>
    <t>CTR INT AGR TROP, CALI, COLOMBIA; UNIV FLORIDA, DEPT AGR ENGN, GAINESVILLE, FL 32611 USA; UNIV FLORIDA, DEPT AGRON, GAINESVILLE, FL 32611 USA</t>
  </si>
  <si>
    <t>Alliance; International Center for Tropical Agriculture - CIAT; State University System of Florida; University of Florida; State University System of Florida; University of Florida</t>
  </si>
  <si>
    <t>UNIV GEORGIA, DEPT BIOL &amp; AGR ENGN, GEORGIA STN, GRIFFIN, GA 30223 USA.</t>
  </si>
  <si>
    <t>Boote, Kenneth/0000-0002-1358-5496</t>
  </si>
  <si>
    <t>0002-1962</t>
  </si>
  <si>
    <t>1435-0645</t>
  </si>
  <si>
    <t>AGRON J</t>
  </si>
  <si>
    <t>Agron. J.</t>
  </si>
  <si>
    <t>10.2134/agronj1994.00021962008600010032x</t>
  </si>
  <si>
    <t>MZ166</t>
  </si>
  <si>
    <t>WOS:A1994MZ16600035</t>
  </si>
  <si>
    <t>Gorjanc, G; Battagin, M; Dumasy, JF; Antolin, R; Gaynor, RC; Hickey, JM</t>
  </si>
  <si>
    <t>Gorjanc, Gregor; Battagin, Mara; Dumasy, Jean-Francois; Antolin, Roberto; Gaynor, R. Chris; Hickey, John M.</t>
  </si>
  <si>
    <t>Prospects for Cost-Effective Genomic Selection via Accurate Within-Family Imputation</t>
  </si>
  <si>
    <t>GENOTYPING STRATEGIES; GENETIC CONTRIBUTIONS; GENOMEWIDE SELECTION; BREEDING PROGRAMS; RIDGE-REGRESSION; PREDICTION; POPULATIONS; MAIZE; IMPACT; SIMULATION</t>
  </si>
  <si>
    <t>Genomic selection has great potential to increase the efficiency of plant breeding, but its implementation is hindered by the high costs of collecting the necessary data. In this study we evaluated the potential of accurate within-family imputation for enabling cost-effective genomic selection. We have simulated a breeding program with inbred parents and their segregating progeny distributed among families, of which some were used as a training set and some were used as a prediction set. Parents were genotyped at high density (20,000 markers), while progeny were genotyped at high or low density (500, 200, 100, or 50 markers) and imputed. Low-density markers were chosen to segregate within each family separately. The assumed low-density genotyping costs accounted for this assumption. Six sets of scenarios were analyzed in which imputation was leveraged to maximize cost effectiveness of genomic selection by (i) decreasing the genotyping costs, (ii) increasing selection intensity by genotyping more individuals at fewer markers, or (iii) increasing prediction accuracy by genotyping more phenotyped individuals at fewer markers. The results show that, with a constant size of the training and prediction sets, the prediction accuracy was unimpaired when at least 200 low-density markers were used. However, the return on investment was maximal (5.67 times that of the baseline scenario) when only 50 low-density markers were used because that enabled maximal reduction in the genotyping costs and only minimal reduction in the prediction accuracy. Increasing either the training set or prediction set further increased the return on investment when imputed genotypes were used, but not when the true high-density genotypes were used. The results show how plant breeding programs can implement genomic selection in a cost-effective way.</t>
  </si>
  <si>
    <t>[Gorjanc, Gregor; Battagin, Mara; Dumasy, Jean-Francois; Antolin, Roberto; Gaynor, R. Chris; Hickey, John M.] Univ Edinburgh, Roslin Inst, Easter Bush Res Ctr, Roslin EH25 9RG, Midlothian, Scotland; [Gorjanc, Gregor; Battagin, Mara; Dumasy, Jean-Francois; Antolin, Roberto; Gaynor, R. Chris; Hickey, John M.] Univ Edinburgh, Royal Dick Sch Vet Studies, Easter Bush Res Ctr, Roslin EH25 9RG, Midlothian, Scotland</t>
  </si>
  <si>
    <t>Gorjanc, G (corresponding author), Univ Edinburgh, Roslin Inst, Easter Bush Res Ctr, Roslin EH25 9RG, Midlothian, Scotland.;Gorjanc, G (corresponding author), Univ Edinburgh, Royal Dick Sch Vet Studies, Easter Bush Res Ctr, Roslin EH25 9RG, Midlothian, Scotland.</t>
  </si>
  <si>
    <t>Gregor.Gorjanc@roslin.ed.ac.uk</t>
  </si>
  <si>
    <t>; Gorjanc, Gregor/D-3684-2014</t>
  </si>
  <si>
    <t>Gaynor, Robert/0000-0003-0558-6656; Gorjanc, Gregor/0000-0001-8008-2787</t>
  </si>
  <si>
    <t>BBSRC ISPG [BB/J004235/1]; Genus PLC [BB/M009254/1, BB/L020726/1, BB/N004736/1, BB/N004728/1, BB/L020467/1, BB/ N006178/1]; Medical Research Council (MRC) [MR/M000370/1]; BBSRC [BB/L020467/1, BB/M009254/1, BBS/E/D/20211554, BBS/E/D/20211553, BB/N006178/1, BB/L020726/1, BB/R002061/1] Funding Source: UKRI</t>
  </si>
  <si>
    <t>BBSRC ISPG(UK Research &amp; Innovation (UKRI)Biotechnology and Biological Sciences Research Council (BBSRC)); Genus PLC; Medical Research Council (MRC)(UK Research &amp; Innovation (UKRI)Medical Research Council UK (MRC)); BBSRC(UK Research &amp; Innovation (UKRI)Biotechnology and Biological Sciences Research Council (BBSRC))</t>
  </si>
  <si>
    <t>The authors acknowledge the financial support from the BBSRC ISPG to The Roslin Institute BB/J004235/1, from Genus PLC and from grant numbers BB/M009254/1, BB/L020726/1, BB/N004736/1, BB/N004728/1, BB/L020467/1, and BB/N006178/1 and Medical Research Council (MRC) grant number MR/M000370/1. The authors thank Dr. Andrew Derrington (Scotland, UK) for assistance in refining the manuscript. This work has made use of the resources provided by the Edinburgh Compute and Data Facility (ECDF)</t>
  </si>
  <si>
    <t>10.2135/cropsci2016.06.0526</t>
  </si>
  <si>
    <t>EO0HL</t>
  </si>
  <si>
    <t>Green Submitted, hybrid, Green Published</t>
  </si>
  <si>
    <t>WOS:000396378800021</t>
  </si>
  <si>
    <t>McClosky, B; Tanksley, SD</t>
  </si>
  <si>
    <t>McClosky, Benjamin; Tanksley, Steven D.</t>
  </si>
  <si>
    <t>The impact of recombination on short-term selection gain in plant breeding experiments</t>
  </si>
  <si>
    <t>SINGLE-SEED-DESCENT; DOUBLED-HAPLOID LINES; GENETIC ARCHITECTURE; MAIZE; LINKAGE; CROSSES; POPULATIONS; PERFORMANCE; ADAPTATION; EPISTASIS</t>
  </si>
  <si>
    <t>Recombination is a requirement for response to selection, but researchers still debate whether increasing recombination beyond normal levels will result in significant gains in short-term selection. We tested this hypothesis, in the context of plant breeding, through a series of simulation experiments comparing short-term selection response (a parts per thousand currency sign20 cycles) between populations with normal levels of recombination and similar populations with unconstrained recombination (i.e., free recombination). We considered additive and epistatic models and examined a wide range of values for key design variables: selection cycles, QTL number, heritability, linkage phase, selection intensity and population size. With few exceptions, going from normal to unconstrained levels of recombination produced only modest gains in response to selection (a parts per thousand 11 % on average). We then asked how breeders might capture some of this theoretical gain by increasing recombination through either (1) extra rounds of mating or (2) selection of highly recombinant individuals via use of molecular markers/maps. All methods tested captured less than half of the potential gain, but our analysis indicates that the most effective method is to select for increased recombination and the trait simultaneously. This recommendation is based on evidence of a favorable interaction between trait selection and the impact of recombination on selection gains. Finally, we examined the relative contributions of the two components of meiotic recombination, chromosome assortment and crossing over, to short-term selection gain. Depending primarily on the presence of trait selection pressure, chromosome assortment alone accounted for 40-75 % of gain in response to short-term selection.</t>
  </si>
  <si>
    <t>[McClosky, Benjamin; Tanksley, Steven D.] Nat Source Genet, Ithaca, NY 14850 USA</t>
  </si>
  <si>
    <t>McClosky, B (corresponding author), Nat Source Genet, 33 Thornwood Dr,Suite 300, Ithaca, NY 14850 USA.</t>
  </si>
  <si>
    <t>bmcclosky@naturesourcegenetics.com</t>
  </si>
  <si>
    <t>10.1007/s00122-013-2136-3</t>
  </si>
  <si>
    <t>208IJ</t>
  </si>
  <si>
    <t>WOS:000323671100009</t>
  </si>
  <si>
    <t>Cooper, M; Powell, O; Voss-Fels, KP; Messina, CD; Gho, C; Podlich, DW; Technow, F; Chapman, SC; Beveridge, CA; Ortiz-Barrientos, D; Hammer, GL</t>
  </si>
  <si>
    <t>Cooper, M.; Powell, O.; Voss-Fels, K. P.; Messina, C. D.; Gho, C.; Podlich, D. W.; Technow, F.; Chapman, S. C.; Beveridge, C. A.; Ortiz-Barrientos, D.; Hammer, G. L.</t>
  </si>
  <si>
    <t>Modelling selection response in plant-breeding programs using crop models as mechanistic gene-to-phenotype (CGM-G2P) multi-trait link functions</t>
  </si>
  <si>
    <t>IN SILICO PLANTS</t>
  </si>
  <si>
    <t>Breeding; Physiology; Genetics; Prediction; Genomics; Selection; G2P; Network</t>
  </si>
  <si>
    <t>BY-ENVIRONMENT INTERACTION; AFFECTING GRAIN-SORGHUM; QTL ANALYSIS; COMPUTER-SIMULATION; QUANTITATIVE TRAITS; DROUGHT-STRESS; GENOTYPE; MAIZE; ADAPTATION; TEMPERATURE</t>
  </si>
  <si>
    <t>Plant-breeding programs are designed and operated over multiple cycles to systematically change the genetic makeup of plants to achieve improved trait performance for a Target Population of Environments (TPE). Within each cycle, selection applied to the standing genetic variation within a structured reference population of genotypes (RPG) is the primary mechanism by which breeding programs make the desired genetic changes. Selection operates to change the frequencies of the alleles of the genes controlling trait variation within the RPG. The structure of the RPG and the TPE has important implications for the design of optimal breeding strategies. The breeder's equation, together with the quantitative genetic theory behind the equation, informs many of the principles for design of breeding programs. The breeder's equation can take many forms depending on the details of the breeding strategy. Through the genetic changes achieved by selection, the cultivated varieties of crops (cultivars) are improved for use in agriculture. From a breeding perspective, selection for specific trait combinations requires a quantitative link between the effects of the alleles of the genes impacted by selection and the trait phenotypes of plants and their breeding value. This gene-to-phenotype link function provides the G2P map for one to many traits. For complex traits controlled by many genes, the infinitesimal model for trait genetic variation is the dominant G2P model of quantitative genetics. Here we consider motivations and potential benefits of using the hierarchical structure of crop models as CGM-G2P trait link functions in combination with the infinitesimal model for the design and optimization of selection in breeding programs.</t>
  </si>
  <si>
    <t>[Cooper, M.; Powell, O.; Voss-Fels, K. P.; Hammer, G. L.] Univ Queensland, Queensland Alliance Agr &amp; Food Innovat QAAFI, Brisbane, Qld 4072, Australia; [Messina, C. D.; Gho, C.; Podlich, D. W.] Corteva Agrisci, Johnston, IA 50131 USA; [Technow, F.] Corteva Agrisci, Tavistock, ON N0B, Canada; [Chapman, S. C.] Univ Queensland, Sch Agr &amp; Food Sci, Brisbane, Qld 4072, Australia; [Beveridge, C. A.; Ortiz-Barrientos, D.] Univ Queensland, Sch Biol Sci, Brisbane, Qld 4072, Australia</t>
  </si>
  <si>
    <t>University of Queensland; University of Queensland; University of Queensland</t>
  </si>
  <si>
    <t>Cooper, M (corresponding author), Univ Queensland, Queensland Alliance Agr &amp; Food Innovat QAAFI, Brisbane, Qld 4072, Australia.</t>
  </si>
  <si>
    <t>mark.cooper@uq.edu.au</t>
  </si>
  <si>
    <t>Ortiz-Barrientos, Daniel/N-3294-2019; Cooper, Mark/AAG-8551-2019; Hammer, Graeme/A-3785-2008; Ortiz-Barrientos, Daniel/B-2274-2010; Chapman, Scott/B-9673-2008; Beveridge, Christine/B-3514-2009; Technow, Frank/AAC-4994-2019; Powell, Owen/ABE-9640-2020</t>
  </si>
  <si>
    <t>Hammer, Graeme/0000-0002-1180-7374; Gho, Carla/0000-0001-8361-5366; Ortiz-Barrientos, Daniel/0000-0002-7493-416X; Chapman, Scott/0000-0003-4732-8452; Beveridge, Christine/0000-0003-0878-3110; Cooper, Mark/0000-0002-9418-3359; Technow, Frank/0000-0002-2497-3136; Messina, Carlos/0000-0002-5501-9281; Powell, Owen/0000-0001-5131-4286; Voss-Fels, Kai Peter/0000-0003-0782-366X</t>
  </si>
  <si>
    <t>Australian Research Council Centre of Excellence for Plant Success in Nature and Agriculture [CE200100015]; Australian Grains Research and Development Corporation [UOQ1903-008RTX]</t>
  </si>
  <si>
    <t>Australian Research Council Centre of Excellence for Plant Success in Nature and Agriculture(Australian Research Council); Australian Grains Research and Development Corporation(Grains R&amp;D Corp)</t>
  </si>
  <si>
    <t>Contribution supported by the Australian Research Council Centre of Excellence for Plant Success in Nature and Agriculture (CE200100015) and the Australian Grains Research and Development Corporation project UOQ1903-008RTX.</t>
  </si>
  <si>
    <t>2517-5025</t>
  </si>
  <si>
    <t>In Silico Plants</t>
  </si>
  <si>
    <t>diaa016</t>
  </si>
  <si>
    <t>10.1093/insilicoplants/diaa016</t>
  </si>
  <si>
    <t>Agriculture; Plant Sciences; Mathematical &amp; Computational Biology</t>
  </si>
  <si>
    <t>XN0XO</t>
  </si>
  <si>
    <t>Green Submitted, gold</t>
  </si>
  <si>
    <t>WOS:000729238000006</t>
  </si>
  <si>
    <t>Galli, G; Sabadin, F; Costa-Neto, GMF; Fritsche-Neto, R</t>
  </si>
  <si>
    <t>Galli, Giovanni; Sabadin, Felipe; Costa-Neto, Germano Martins Ferreira; Fritsche-Neto, Roberto</t>
  </si>
  <si>
    <t>A novel way to validate UAS-based high-throughput phenotyping protocols using in silico experiments for plant breeding purposes</t>
  </si>
  <si>
    <t>GRAIN-YIELD; HEIGHT</t>
  </si>
  <si>
    <t>Key message It is possible to make inferences regarding the feasibility and applicability of plant high-throughput phenotyping via computer simulations. Protocol validation has been a key challenge to the establishment of high-throughput phenotyping (HTP) in breeding programs. We add to this matter by proposing an innovative way for designing and validating aerial imagery-based HTP approaches with in silico 3D experiments for plant breeding purposes. The algorithm is constructed following a pipeline composed of the simulation of phenotypic values, three-dimensional modeling of trials, and image rendering. Our tool is exemplified by testing a set of experimental setups that are of interest in the context of maize breeding using a comprehensive case study. We report on how the choice of (percentile of) points in dense clouds, the experimental repeatability (heritability), the treatment variance (genetic variability), and the flight altitude affect the accuracy of high-throughput plant height estimation based on conventional structure-from-motion (SfM) and multi-view stereo (MVS) pipelines. The evaluation of both the algorithm and the case study was driven by comparisons of the computer-simulated (ground truth) and the HTP-estimated values using correlations, regressions, and similarity indices. Our results showed that the 3D experiments can be adequately reconstructed, enabling inference-making. Moreover, it suggests that treatment variance, repeatability, and the choice of the percentile of points are highly influential over the accuracy of HTP. Conversely, flight altitude influenced the quality of reconstruction but not the accuracy of plant height estimation. Therefore, we believe that our tool can be of high value, enabling the promotion of new insights and further understanding of the events underlying the practice of high-throughput phenotyping.</t>
  </si>
  <si>
    <t>[Galli, Giovanni; Sabadin, Felipe; Costa-Neto, Germano Martins Ferreira; Fritsche-Neto, Roberto] Univ Sao Paulo, Dept Genet, Luiz de Queiroz Coll Agr, Piracicaba, SP, Brazil</t>
  </si>
  <si>
    <t>Universidade de Sao Paulo</t>
  </si>
  <si>
    <t>Galli, G (corresponding author), Univ Sao Paulo, Dept Genet, Luiz de Queiroz Coll Agr, Piracicaba, SP, Brazil.</t>
  </si>
  <si>
    <t>giovannigalli@alumni.usp.br</t>
  </si>
  <si>
    <t>Sabadin, Felipe/C-7903-2017; Galli, Giovanni/N-7015-2017; Fritsche-Neto, Roberto/B-2256-2013</t>
  </si>
  <si>
    <t>Galli, Giovanni/0000-0002-3400-7978; Fritsche-Neto, Roberto/0000-0003-4310-0047; Costa-Neto, Germano Martins F./0000-0003-1137-6786</t>
  </si>
  <si>
    <t>Coordenacao de Aperfeicoamento de Pessoal de Nivel Superior-Brasil (CAPES) [001]; Conselho Nacional de Desenvolvimento Cientifico e Tecnologico (CNPq)</t>
  </si>
  <si>
    <t>Coordenacao de Aperfeicoamento de Pessoal de Nivel Superior-Brasil (CAPES)(Coordenacao de Aperfeicoamento de Pessoal de Nivel Superior (CAPES)); Conselho Nacional de Desenvolvimento Cientifico e Tecnologico (CNPq)(Conselho Nacional de Desenvolvimento Cientifico e Tecnologico (CNPQ))</t>
  </si>
  <si>
    <t>This work was financially supported by Coordenacao de Aperfeicoamento de Pessoal de Nivel Superior-Brasil (CAPES)-Finance Code 001 and Conselho Nacional de Desenvolvimento Cientifico e Tecnologico (CNPq).</t>
  </si>
  <si>
    <t>FEB</t>
  </si>
  <si>
    <t>10.1007/s00122-020-03726-6</t>
  </si>
  <si>
    <t>NOV 2020</t>
  </si>
  <si>
    <t>QA3EC</t>
  </si>
  <si>
    <t>WOS:000591106100001</t>
  </si>
  <si>
    <t>da Silva, AC; da Silva, MJ; Cruz, CD; Sant'Anna, ID; Silva, GN; Nascimento, M; Azevedo, CF</t>
  </si>
  <si>
    <t>da Silva Junior, Antonio Carlos; da Silva, Michele Jorge; Cruz, Cosme Damiao; Sant'Anna, Isabela de Castro; Silva, Gabi Nunes; Nascimento, Moyses; Azevedo, Camila Ferreira</t>
  </si>
  <si>
    <t>Prediction of the importance of auxiliary traits using computational intelligence and machine learning: A simulation study</t>
  </si>
  <si>
    <t>PLOS ONE</t>
  </si>
  <si>
    <t>ARTIFICIAL NEURAL-NETWORKS; GENOME-ENABLED PREDICTION; BREEDING VALUES; REGRESSION</t>
  </si>
  <si>
    <t>The present study evaluated the importance of auxiliary traits of a principal trait based on phenotypic information and previously known genetic structure using computational intelligence and machine learning to develop predictive tools for plant breeding. Data of an F-2 population represented by 500 individuals, obtained from a cross between contrasting homozygous parents, were simulated. Phenotypic traits were simulated based on previously established means and heritability estimates (30%, 50%, and 80%); traits were distributed in a genome with 10 linkage groups, considering two alleles per marker. Four different scenarios were considered. For the principal trait, heritability was 50%, and 40 control loci were distributed in five linkage groups. Another phenotypic control trait with the same complexity as the principal trait but without any genetic relationship with it and without pleiotropy or a factorial link between the control loci for both traits was simulated. These traits shared a large number of control loci with the principal trait, but could be distinguished by the differential action of the environment on them, as reflected in heritability estimates (30%, 50%, and 80%). The coefficient of determination were considered to evaluate the proposed methodologies. Multiple regression, computational intelligence, and machine learning were used to predict the importance of the tested traits. Computational intelligence and machine learning were superior in extracting nonlinear information from model inputs and quantifying the relative contributions of phenotypic traits. The R-2 values ranged from 44.0% - 83.0% and 79.0% - 94.0%, for computational intelligence and machine learning, respectively. In conclusion, the relative contributions of auxiliary traits in different scenarios in plant breeding programs can be efficiently predicted using computational intelligence and machine learning.</t>
  </si>
  <si>
    <t>[da Silva Junior, Antonio Carlos; da Silva, Michele Jorge; Cruz, Cosme Damiao] Univ Fed Vicosa, Dept Gen Biol, Vicosa, MG, Brazil; [Sant'Anna, Isabela de Castro] Ctr Seringueira &amp; Sistemas Agroflorestais, Inst Agron IAC, Sao Paulo, Brazil; [Silva, Gabi Nunes] Dept Math &amp; Stat, R Rio Amazonas, Ji Parana, RO, Brazil; [Nascimento, Moyses; Azevedo, Camila Ferreira] Univ Fed Vicosa, Dept Stat, Vicosa, MG, Brazil</t>
  </si>
  <si>
    <t>Universidade Federal de Vicosa; Instituto Agronomico de Campinas (IAC); Universidade Federal de Vicosa</t>
  </si>
  <si>
    <t>da Silva, AC (corresponding author), Univ Fed Vicosa, Dept Gen Biol, Vicosa, MG, Brazil.</t>
  </si>
  <si>
    <t>antonio.silva.c.junior@gmail.com</t>
  </si>
  <si>
    <t>Siqueira, Michele/GNP-0459-2022; Azevedo, Camila/AGE-4725-2022; da Silva, Antonio/F-3573-2017; 'Anna, Isabela/V-6883-2018; Nascimento, Moyses/Y-8767-2019; Azevedo, Camila/H-7028-2016</t>
  </si>
  <si>
    <t>Azevedo, Camila/0000-0003-0438-5123; Siqueira, Michele Jorge Silva/0000-0001-8648-8825; Silva Junior, Antonio Carlos da/0000-0002-4200-6182</t>
  </si>
  <si>
    <t>CNPq; CAPES; Coordenacao de Aperfeicoamento de Pessoal de Nivel Superior - Brasil (CAPES) [001]; Fundacao de Amparo a Pesquisa do Estado de Sao Paulo (FAPESP) [2018/26408-0]</t>
  </si>
  <si>
    <t>CNPq(Conselho Nacional de Desenvolvimento Cientifico e Tecnologico (CNPQ)); CAPES(Coordenacao de Aperfeicoamento de Pessoal de Nivel Superior (CAPES)); Coordenacao de Aperfeicoamento de Pessoal de Nivel Superior - Brasil (CAPES)(Coordenacao de Aperfeicoamento de Pessoal de Nivel Superior (CAPES)); Fundacao de Amparo a Pesquisa do Estado de Sao Paulo (FAPESP)(Fundacao de Amparo a Pesquisa do Estado de Sao Paulo (FAPESP))</t>
  </si>
  <si>
    <t>The authors thank CNPq and CAPES for their financial support. This study was financed in part by the Coordenacao de Aperfeicoamento de Pessoal de Ni ' vel Superior - Brasil (CAPES) Finance Code 001. The authors gratefully acknowledge the Fundacao de Amparo a Pesquisa do Estado de Sao Paulo (FAPESP) for the researcher fellowship to ICS (2018/26408-0).</t>
  </si>
  <si>
    <t>PUBLIC LIBRARY SCIENCE</t>
  </si>
  <si>
    <t>SAN FRANCISCO</t>
  </si>
  <si>
    <t>1160 BATTERY STREET, STE 100, SAN FRANCISCO, CA 94111 USA</t>
  </si>
  <si>
    <t>1932-6203</t>
  </si>
  <si>
    <t>PLoS One</t>
  </si>
  <si>
    <t>NOV 29</t>
  </si>
  <si>
    <t>e0257213</t>
  </si>
  <si>
    <t>10.1371/journal.pone.0257213</t>
  </si>
  <si>
    <t>YU5IH</t>
  </si>
  <si>
    <t>WOS:000752076100008</t>
  </si>
  <si>
    <t>Yang, KW; Chapman, S; Carpenter, N; Hammer, G; McLean, G; Zheng, BY; Chen, YH; Delp, E; Masjedi, A; Crawford, M; Ebert, D; Habib, A; Thompson, A; Weil, C; Tuinstra, MR</t>
  </si>
  <si>
    <t>Yang, Kai-Wei; Chapman, Scott; Carpenter, Neal; Hammer, Graeme; McLean, Greg; Zheng, Bangyou; Chen, Yuhao; Delp, Edward; Masjedi, Ali; Crawford, Melba; Ebert, David; Habib, Ayman; Thompson, Addie; Weil, Clifford; Tuinstra, Mitchell R.</t>
  </si>
  <si>
    <t>Integrating crop growth models with remote sensing for predicting biomass yield of sorghum</t>
  </si>
  <si>
    <t>APSIM; bioenergy sorghum; extinction coefficient; high-throughput phenotyping; LAI; photoperiod-sensitive sorghum; radiation use efficiency; scenario simulation</t>
  </si>
  <si>
    <t>RADIATION-USE EFFICIENCY; LEAF-AREA DYNAMICS; CANOPY DEVELOPMENT; COMPARATIVE PRODUCTIVITY; ENVIRONMENTAL-CONTROL; TROPICAL ENVIRONMENT; GRAIN-SORGHUM; PEARL-MILLET; WHOLE-PLANT; MAIZE</t>
  </si>
  <si>
    <t>Plant phenotypes are often descriptive, rather than predictive of crop performance. As a result, extensive testing is required in plant breeding programmes to develop varieties aimed at performance in the target environments. Crop models can improve this testing regime by providing a predictive framework to (i) augment field phenotyping data and derive hard-to-measure phenotypes and (ii) estimate performance across geographical regions using historical weather data. The goal of this study was to parameterize the Agricultural Production Systems sIMulator (APSIM) crop growth models with remote-sensing and ground-reference data to predict variation in phenology and yield-related traits in 18 commercial grain and biomass sorghum hybrids. Genotype parameters for each hybrid were estimated using remote-sensing measurements combined with manual phenotyping in West Lafayette, IN, in 2018. The models were validated in hybrid performance trials in two additional seasons at that site and against yield trials conducted in Bushland, TX, between 2001 and 2018. These trials demonstrated that (i) maximum plant height, final dry biomass and radiation use efficiency (RUE) of photoperiod-sensitive and -insensitive forage sorghum hybrids tended to be higher than observed in grain sorghum, (ii) photoperiod-sensitive sorghum hybrids exhibited greater biomass production in longer growing environments and (iii) the parameterized and validated models perform well in above-ground biomass simulations across years and locations. Crop growth models that integrate remote-sensing data offer an efficient approach to parameterize larger plant breeding populations.</t>
  </si>
  <si>
    <t>[Yang, Kai-Wei; Carpenter, Neal; Crawford, Melba; Thompson, Addie; Weil, Clifford; Tuinstra, Mitchell R.] Purdue Univ, Dept Agron, 915 West State St, W Lafayette, IN 47907 USA; [Chapman, Scott] Univ Queensland, Sch Agr &amp; Food Sci, Gatton, Qld 4343, Australia; [Chapman, Scott; Zheng, Bangyou] CSIRO Agr &amp; Food, Queensland Biosci Precinct, 306 Carmody Rd, St Lucia, Qld 4067, Australia; [Hammer, Graeme; McLean, Greg] Univ Queensland, Queensland Alliance Agr &amp; Food Innovat QAAFI, Brisbane, Qld 4072, Australia; [Chen, Yuhao; Delp, Edward; Ebert, David] Purdue Univ, Sch Elect &amp; Comp Engn, 465 Northwestern Ave, W Lafayette, IN 47907 USA; [Masjedi, Ali; Crawford, Melba; Habib, Ayman] Purdue Univ, Lyles Sch Civil Engn, 550 Stadium Mall Dr, W Lafayette, IN 47907 USA; [Thompson, Addie] Michigan State Univ, Plant Soil &amp; Microbial Sci Dept, 1066 Bogue St, E Lansing, MI 48824 USA</t>
  </si>
  <si>
    <t>Purdue University System; Purdue University; University of Queensland; Commonwealth Scientific &amp; Industrial Research Organisation (CSIRO); University of Queensland; Purdue University System; Purdue University; Purdue University System; Purdue University; Michigan State University</t>
  </si>
  <si>
    <t>Tuinstra, MR (corresponding author), Purdue Univ, Dept Agron, 915 West State St, W Lafayette, IN 47907 USA.</t>
  </si>
  <si>
    <t>mtuinstr@purdue.edu</t>
  </si>
  <si>
    <t>Masjedi, Ali/L-4931-2019; Chen, Yuhao/JPK-3626-2023; Delp, Edward/C-3616-2013; Zheng, Bangyou/D-6832-2011; McLean, Greg/AAE-9842-2021; Hammer, Graeme/A-3785-2008; Chapman, Scott/B-9673-2008</t>
  </si>
  <si>
    <t>Hammer, Graeme/0000-0002-1180-7374; Tuinstra, Mitchell/0000-0002-5322-6519; Delp, Edward/0000-0002-2909-7323; Chen, Yuhao/0000-0001-6094-0545; Chapman, Scott/0000-0003-4732-8452</t>
  </si>
  <si>
    <t>U.S. Department of Energy ARPA-E Program [DE-AR0001135]</t>
  </si>
  <si>
    <t>U.S. Department of Energy ARPA-E Program(United States Department of Energy (DOE))</t>
  </si>
  <si>
    <t>This project was funded by U.S. Department of Energy ARPA-E Program Award Number DE-AR0001135.</t>
  </si>
  <si>
    <t>diab001</t>
  </si>
  <si>
    <t>10.1093/insilicoplants/diab001</t>
  </si>
  <si>
    <t>JAN 2021</t>
  </si>
  <si>
    <t>WOS:000729238000008</t>
  </si>
  <si>
    <t>Tiede, T; Smith, KP</t>
  </si>
  <si>
    <t>Tiede, Tyler; Smith, Kevin P.</t>
  </si>
  <si>
    <t>Evaluation and retrospective optimization of genomic selection for yield and disease resistance in spring barley</t>
  </si>
  <si>
    <t>Genomic selection; Genomewide selection; Training population optimization; Applied plant breeding; Empirical validation</t>
  </si>
  <si>
    <t>HEAD BLIGHT RESISTANCE; QUANTITATIVE TRAIT LOCI; GENOMEWIDE SELECTION; POPULATION-STRUCTURE; PREDICTION ACCURACY; TRAINING POPULATIONS; MAIZE POPULATIONS; GENETIC VARIANCE; SPATIAL-ANALYSIS; DESIGN</t>
  </si>
  <si>
    <t>The general applicability of genomic selection (GS) to plant breeding and principles guiding its use have been established by simulation and empirical cross-validation studies. More recently, studies have demonstrated genetic gains over multiple cycles of selection in a variety of crop species. In this study, we provide additional evidence for the effectiveness of GS in an actual breeding program by demonstrating significant gains of 186.1 kg ha(-1) and - 1.85 ppm for grain yield and deoxynivalenol, respectively, two unfavorably correlated quantitative traits, across 3 cycles of selection in a spring six-row barley breeding population. With its general effectiveness established, the next step is to increase the accuracy of predictions used in GS and thereby increase genetic gains. For this, we first showed that updating the training population (TP) with phenotyped lines from recent breeding cycles, specifically selected lines, had an overall positive effect on prediction accuracy. Additionally, we investigated four recently proposed algorithms that seek to optimize the composition of a TP. Overall, the optimization algorithms improved prediction accuracy when compared to a randomly selected TP subset of the same size, but which algorithm performed best was dependent on the trait being predicted and other factors discussed within. This retrospective investigation highlights the importance of maintaining and optimizing the TP when using GS in applied breeding to maximize prediction accuracy, thereby maximizing gain from selection and resource utilization efficiency.</t>
  </si>
  <si>
    <t>[Tiede, Tyler; Smith, Kevin P.] Univ Minnesota, Dept Agron &amp; Plant Genet, 408 Borlaug Hall,1991 Upper Buford Circle, St Paul, MN 55108 USA</t>
  </si>
  <si>
    <t>Tiede, T (corresponding author), Univ Minnesota, Dept Agron &amp; Plant Genet, 408 Borlaug Hall,1991 Upper Buford Circle, St Paul, MN 55108 USA.</t>
  </si>
  <si>
    <t>tyler.tiede7@gmail.com</t>
  </si>
  <si>
    <t>Smith, Kevin/K-5157-2015</t>
  </si>
  <si>
    <t>Smith, Kevin/0000-0001-8253-3326</t>
  </si>
  <si>
    <t>10.1007/s11032-018-0820-3</t>
  </si>
  <si>
    <t>GF7US</t>
  </si>
  <si>
    <t>WOS:000432174400014</t>
  </si>
  <si>
    <t>Hammer, G; Messina, C; Wu, A; Cooper, M</t>
  </si>
  <si>
    <t>Hammer, Graeme; Messina, Charlie; Wu, Alex; Cooper, Mark</t>
  </si>
  <si>
    <t>Biological reality and parsimony in crop models-why we need both in crop improvement!</t>
  </si>
  <si>
    <t>Crop improvement; crop model; genomic prediction; phenotypic prediction; plant breeding</t>
  </si>
  <si>
    <t>NODAL ROOT ANGLE; IMPROVING DROUGHT TOLERANCE; RADIATION-USE EFFICIENCY; PLANT-GROWTH MODELS; MAIZE HYBRIDS; SYSTEMS BIOLOGY; GRAIN-YIELD; STAY-GREEN; TRANSPIRATION RESPONSE; QTL ANALYSIS</t>
  </si>
  <si>
    <t>The potential to add significant value to the rapid advances in plant breeding technologies associated with statistical whole-genome prediction methods is a new frontier for crop physiology and modelling. Yield advance by genetic improvement continues to require prediction of phenotype based on genotype, and this remains challenging for complex traits despite recent advances in genotyping and phenotyping. Crop models that capture physiological knowledge and can robustly predict phenotypic consequences of genotype-by-environment-by-management (GxExM) interactions have demonstrated potential as an integrating tool. But does this biological reality come with a degree of complexity that restricts applicability in crop improvement? Simple, high-speed, parsimonious models are required for dealing with the thousands of genotypes and environment combinations in modern breeding programs utilizing genomic prediction technologies. In contrast, it is often considered that greater model complexity is needed to evaluate potential of putative variation in specific traits in target environments as knowledge on their underpinning biology advances. Is this a contradiction leading to divergent futures? Here it is argued that biological reality and parsimony do not need to be independent and perhaps should not be. Models structured to readily allow variation in the biological level of process algorithms, while using coding and computational advances to facilitate high-speed simulation, could well provide the structure needed for the next generation of crop models needed to support and enhance advances in crop improvement technologies. Beyond that, the trans-scale and transdisciplinary dialogue among scientists that will be required to construct such models effectively is considered to be at least as important as the models.</t>
  </si>
  <si>
    <t>[Hammer, Graeme; Wu, Alex; Cooper, Mark] Univ Queensland, Queensland Biosci Precinct, Queensland Alliance Agr &amp; Food Innovat, 306 Carmody Rd, St Lucia, Qld 4067, Australia; [Messina, Charlie] Corteva Agrisci, 8503 NW 62nd Ave, Johnston, IA 50131 USA</t>
  </si>
  <si>
    <t>Hammer, G (corresponding author), Univ Queensland, Queensland Biosci Precinct, Queensland Alliance Agr &amp; Food Innovat, 306 Carmody Rd, St Lucia, Qld 4067, Australia.</t>
  </si>
  <si>
    <t>Wu, Alex/C-3513-2017; Hammer, Graeme/A-3785-2008</t>
  </si>
  <si>
    <t>Hammer, Graeme/0000-0002-1180-7374</t>
  </si>
  <si>
    <t>Australian Research Council; Corteva Agriscience; Grains Research and Development Corporation</t>
  </si>
  <si>
    <t>Australian Research Council(Australian Research Council); Corteva Agriscience; Grains Research and Development Corporation(Grains R&amp;D Corp)</t>
  </si>
  <si>
    <t>This work was supported by Australian Research Council, Corteva Agriscience and Grains Research and Development Corporation.</t>
  </si>
  <si>
    <t>diz010</t>
  </si>
  <si>
    <t>10.1093/insilicoplants/diz010</t>
  </si>
  <si>
    <t>VK5PH</t>
  </si>
  <si>
    <t>WOS:000729237800013</t>
  </si>
  <si>
    <t>Zhang, Z; Ober, U; Erbe, M; Zhang, H; Gao, N; He, JL; Li, JQ; Simianer, H</t>
  </si>
  <si>
    <t>Zhang, Zhe; Ober, Ulrike; Erbe, Malena; Zhang, Hao; Gao, Ning; He, Jinlong; Li, Jiaqi; Simianer, Henner</t>
  </si>
  <si>
    <t>Improving the Accuracy of Whole Genome Prediction for Complex Traits Using the Results of Genome Wide Association Studies</t>
  </si>
  <si>
    <t>EFFECTIVE POPULATION-SIZE; GENETIC ARCHITECTURE; LINKAGE DISEQUILIBRIUM; QUANTITATIVE TRAITS; DAIRY-CATTLE; MILK-PRODUCTION; DATABASE TOOL; SELECTION; LOCI; INFORMATION</t>
  </si>
  <si>
    <t>Utilizing the whole genomic variation of complex traits to predict the yet-to-be observed phenotypes or unobserved genetic values via whole genome prediction (WGP) and to infer the underlying genetic architecture via genome wide association study (GWAS) is an interesting and fast developing area in the context of human disease studies as well as in animal and plant breeding. Though thousands of significant loci for several species were detected via GWAS in the past decade, they were not used directly to improve WGP due to lack of proper models. Here, we propose a generalized way of building trait-specific genomic relationship matrices which can exploit GWAS results in WGP via a best linear unbiased prediction (BLUP) model for which we suggest the name BLUP|GA. Results from two illustrative examples show that using already existing GWAS results from public databases in BLUP|GA improved the accuracy of WGP for two out of the three model traits in a dairy cattle data set, and for nine out of the 11 traits in a rice diversity data set, compared to the reference methods GBLUP and BayesB. While BLUP|GA outperforms BayesB, its required computing time is comparable to GBLUP. Further simulation results suggest that accounting for publicly available GWAS results is potentially more useful for WGP utilizing smaller data sets and/or traits of low heritability, depending on the genetic architecture of the trait under consideration. To our knowledge, this is the first study incorporating public GWAS results formally into the standard GBLUP model and we think that the BLUP|GA approach deserves further investigations in animal breeding, plant breeding as well as human genetics.</t>
  </si>
  <si>
    <t>[Zhang, Zhe; Zhang, Hao; Gao, Ning; He, Jinlong; Li, Jiaqi] South China Agr Univ, Coll Anim Sci, Natl Engn Res Ctr Breeding Swine Ind, Guangdong Prov Key Lab Agroanim Genom &amp; Mol Breed, Guangzhou, Guangdong, Peoples R China; [Zhang, Zhe; Ober, Ulrike; Erbe, Malena; Simianer, Henner] Univ Gottingen, Dept Anim Sci, Anim Breeding &amp; Genet Grp, D-37073 Gottingen, Germany</t>
  </si>
  <si>
    <t>South China Agricultural University; University of Gottingen</t>
  </si>
  <si>
    <t>Li, JQ (corresponding author), South China Agr Univ, Coll Anim Sci, Natl Engn Res Ctr Breeding Swine Ind, Guangdong Prov Key Lab Agroanim Genom &amp; Mol Breed, Guangzhou, Guangdong, Peoples R China.</t>
  </si>
  <si>
    <t>jqli@scau.edu.cn; hsimian@gwdg.de</t>
  </si>
  <si>
    <t>Simianer, Henner/A-6574-2015; gao, ning/KIE-2354-2024; Zhang, Zhe/AAG-9641-2019</t>
  </si>
  <si>
    <t>Zhang, Zhe/0000-0001-7338-7718</t>
  </si>
  <si>
    <t>National Natural Science Foundation of China [31200925, 31371258]; earmarked fund for China Agriculture Research System [CARS-36]; Ph.D. Programs Foundation of Ministry of Education of China [20124404120001]; Guangdong Natural Science Foundation [S2012040007753]; Key Scientific and Technological Projects of Guangzhou [11A62100441]; German Federal Ministry of Education and Research within the AgroClustEr Synbreed - Synergistic plant and animal breeding [0315528C]</t>
  </si>
  <si>
    <t>National Natural Science Foundation of China(National Natural Science Foundation of China (NSFC)); earmarked fund for China Agriculture Research System; Ph.D. Programs Foundation of Ministry of Education of China(Ministry of Education, China); Guangdong Natural Science Foundation(National Natural Science Foundation of Guangdong Province); Key Scientific and Technological Projects of Guangzhou; German Federal Ministry of Education and Research within the AgroClustEr Synbreed - Synergistic plant and animal breeding</t>
  </si>
  <si>
    <t>This work was supported by the National Natural Science Foundation of China (31200925, 31371258), the earmarked fund for China Agriculture Research System (CARS-36), the Ph.D. Programs Foundation (the Doctoral Fund) of Ministry of Education of China (20124404120001), the Guangdong Natural Science Foundation (S2012040007753), the Key Scientific and Technological Projects of Guangzhou (11A62100441). HS, UO and ME acknowledge the funding by the German Federal Ministry of Education and Research within the AgroClustEr Synbreed - Synergistic plant and animal breeding (Funding ID: 0315528C). The funders had no role in study design, data collection and analysis, decision to publish, or preparation of the manuscript.</t>
  </si>
  <si>
    <t>MAR 24</t>
  </si>
  <si>
    <t>e93017</t>
  </si>
  <si>
    <t>10.1371/journal.pone.0093017</t>
  </si>
  <si>
    <t>AD7QO</t>
  </si>
  <si>
    <t>Green Published, gold, Green Submitted</t>
  </si>
  <si>
    <t>WOS:000333459900143</t>
  </si>
  <si>
    <t>Han, Y; Cameron, JN; Wang, LZ; Pham, H; Beavis, WD</t>
  </si>
  <si>
    <t>Han, Ye; Cameron, John N.; Wang, Lizhi; Pham, Hieu; Beavis, William D.</t>
  </si>
  <si>
    <t>Dynamic Programming for Resource Allocation in Multi-Allelic Trait Introgression</t>
  </si>
  <si>
    <t>dynamic programming; resource allocation; Markov decision processes; plant breeding; multi-allelic trait introgression</t>
  </si>
  <si>
    <t>SELECTION; STRATEGIES</t>
  </si>
  <si>
    <t>Trait introgression is a complex process that plant breeders use to introduce desirable alleles from one variety or species to another. Two of the major types of decisions that must be made during this sophisticated and uncertain workflow are: parental selection and resource allocation. We formulated the trait introgression problem as an engineering process and proposed a Markov Decision Processes (MDP) model to optimize the resource allocation procedure. The efficiency of the MDP model was compared with static resource allocation strategies and their trade-offs among budget, deadline, and probability of success are demonstrated. Simulation results suggest that dynamic resource allocation strategies from the MDP model significantly improve the efficiency of the trait introgression by allocating the right amount of resources according to the genetic outcome of previous generations.</t>
  </si>
  <si>
    <t>[Han, Ye; Wang, Lizhi; Pham, Hieu] Iowa State Univ, Dept Ind &amp; Mfg Syst Engn, Ames, IA 50011 USA; [Cameron, John N.; Beavis, William D.] Iowa State Univ, Dept Agron, Ames, IA USA; [Han, Ye] Univ Alabama Huntsville, Coll Business, Huntsville, AL USA</t>
  </si>
  <si>
    <t>Iowa State University; Iowa State University; University of Alabama System; University of Alabama Huntsville</t>
  </si>
  <si>
    <t>Han, Y; Wang, LZ (corresponding author), Iowa State Univ, Dept Ind &amp; Mfg Syst Engn, Ames, IA 50011 USA.</t>
  </si>
  <si>
    <t>yehan1989.work@gmail.com; lzwang@iastate.edu</t>
  </si>
  <si>
    <t>Pham, Huy/AAX-1831-2021</t>
  </si>
  <si>
    <t>United States Department of Agriculture under a NIFA program [201767007-26175, 1011702]; National Science Foundation under LEAP HI program [1830478]; National Science Foundation under GOALI program [1830478]; Plant Sciences Institute at Iowa State University; EAGER program [1842097]</t>
  </si>
  <si>
    <t>United States Department of Agriculture under a NIFA program; National Science Foundation under LEAP HI program; National Science Foundation under GOALI program; Plant Sciences Institute at Iowa State University; EAGER program</t>
  </si>
  <si>
    <t>LW was partially supported by the United States Department of Agriculture under a NIFA program (grant number 201767007-26175/accession number 1011702), by the National Science Foundation under LEAP HI and GOALI programs (grant number 1830478) and an EAGER program (grant number 1842097), and by the Plant Sciences Institute at Iowa State University.</t>
  </si>
  <si>
    <t>JUN 18</t>
  </si>
  <si>
    <t>10.3389/fpls.2021.544854</t>
  </si>
  <si>
    <t>TD0TN</t>
  </si>
  <si>
    <t>WOS:000669049400001</t>
  </si>
  <si>
    <t>Delfieh, M; Meskarbashi, M; Andarzian, B; Farhoudi, R; Saeidipour, S</t>
  </si>
  <si>
    <t>Delfieh, Mohammadreza; Meskarbashi, Moosa; Andarzian, Bahram; Farhoudi, Roozbeh; Saeidipour, Saeid</t>
  </si>
  <si>
    <t>Evaluation of CERES-Maize model for simulating the growth and development of maize cultivar SC-604 under climatic conditions of south-western Iran</t>
  </si>
  <si>
    <t>RESEARCH ON CROPS</t>
  </si>
  <si>
    <t>Agricultural system; calibration; CERES-Maize; maize; model; simulation; validation</t>
  </si>
  <si>
    <t>YIELD; MANAGEMENT</t>
  </si>
  <si>
    <t>Considering the ever increasing importance of computer models to help for better understanding of agricultural systems and improving agronomic and administrative decisions, this research was designed and carried out. In this research, the CERES-maize model was calibrated and validated for the SC-604 maize cultivar. The requred data were from an experiment which had been carried out in 1990 at experimental farm of Agronomy and Plant Breeding Department of Agricultural College in Shahid Chamran University. After acquiring the genetic coefficients, the results of model evaluation with statistical indices, RMSE and MAE, showed that the model was capable to exactly predict the growth parameters, and phenological stages and so these indices for anthesis date, physiological maturity date, yield and dry matter was lower than 10% of observed data means.</t>
  </si>
  <si>
    <t>[Delfieh, Mohammadreza; Meskarbashi, Moosa; Andarzian, Bahram; Farhoudi, Roozbeh; Saeidipour, Saeid] Shahid Chamran Univ, Dept Agron &amp; Plant Breeding, Ahvaz, Iran</t>
  </si>
  <si>
    <t>Shahid Chamran University of Ahvaz</t>
  </si>
  <si>
    <t>Delfieh, M (corresponding author), Shahid Chamran Univ, Dept Agron &amp; Plant Breeding, Ahvaz, Iran.</t>
  </si>
  <si>
    <t>mdelfieh@scu.ac.ir</t>
  </si>
  <si>
    <t>Andarzian, Bahram/Q-9413-2019; Andarzian, Seyed Bahram/S-2742-2016</t>
  </si>
  <si>
    <t>Andarzian, Bahram/0000-0003-3135-2829; Andarzian, Seyed Bahram/0000-0003-2999-4240</t>
  </si>
  <si>
    <t>GAURAV SOC AGRICULTURAL RESEARCH INFORMATION CENTRE-ARIC</t>
  </si>
  <si>
    <t>HISAR</t>
  </si>
  <si>
    <t>C/O MRS. POONAM S CHAUDHARY, MANAGING DIRECTOR, SYSTAMATIC PRINTERS, MOHALLA UDAIPURIA, NEAR VIDEO, HISAR, HARYANA 00000, INDIA</t>
  </si>
  <si>
    <t>0972-3226</t>
  </si>
  <si>
    <t>RES CROP</t>
  </si>
  <si>
    <t>Res. Crop.</t>
  </si>
  <si>
    <t>816GC</t>
  </si>
  <si>
    <t>WOS:000294585700013</t>
  </si>
  <si>
    <t>Pei, WW; Hu, WT; Chai, ZF; Zhou, GM</t>
  </si>
  <si>
    <t>Pei Weiwei; Hu Wentao; Chai Zhifang; Zhou Guangming</t>
  </si>
  <si>
    <t>Current status of space radiobiological studies in China</t>
  </si>
  <si>
    <t>LIFE SCIENCES IN SPACE RESEARCH</t>
  </si>
  <si>
    <t>Radiobiology; CSS; Space radiation; Biological effects; Mutagenic effects</t>
  </si>
  <si>
    <t>HEAVY-ION; GAMMA-RAYS; RADIATION; CELLS; IRRADIATION; PATHWAY; CYTOSKELETON; FIBROBLASTS; PARTICLES; APOPTOSIS</t>
  </si>
  <si>
    <t>After successfully launching two space laboratories, namely, Tiangong-1 and Tiangong-2, China has announced her next plan of constructing the Chinese Space Station (CSS) in 2022. The CSS will provide not only platforms for Chinese scientists to carry out experimental studies in outer space but also opportunities for open international cooperation. In this article, we review the development of China's manned space exploration missions and the preliminary plan for CSS. Additionally, China has initiated space radiation research decades ago with both ground-based simulation research platform and space vehicles and has made noticeable progresses in several aspects. These include studies on human health risk assessment using mammalian cell cultures and animals as models. Furthermore, there have been numerous studies on assessing the space environment in plant breeding.</t>
  </si>
  <si>
    <t>[Pei Weiwei; Hu Wentao; Chai Zhifang; Zhou Guangming] Soochow Univ, Sch Radiat Med &amp; Protect, State Key Lab Radiat Med &amp; Protect, Suzhou 215123, Peoples R China; [Pei Weiwei; Hu Wentao; Chai Zhifang; Zhou Guangming] Soochow Univ, Acad Space Life Sci, Suzhou 215123, Peoples R China</t>
  </si>
  <si>
    <t>Soochow University - China; Soochow University - China</t>
  </si>
  <si>
    <t>Zhou, GM (corresponding author), Soochow Univ, Sch Radiat Med &amp; Protect, Suzhou 215123, Jiangsu, Peoples R China.</t>
  </si>
  <si>
    <t>gmzhou@suda.edu.cn</t>
  </si>
  <si>
    <t>National Key R&amp;D Program of China through MOST (Ministry of Science and Technology) [2018YFC0115704, 2018YFC0115705]; National Natural Science Foundation of China [11405235]; China Postdoctoral Science Foundation [2018M632367]; Jiangsu Postdoctoral Science Foundation [1701176B]; Collaborative Innovation Center of Radiological Medicine of Jiangsu Higher Education Institutions - Priority Academic Program Development of Jiangsu Higher Education Institutions (PAPD)</t>
  </si>
  <si>
    <t>National Key R&amp;D Program of China through MOST (Ministry of Science and Technology); National Natural Science Foundation of China(National Natural Science Foundation of China (NSFC)); China Postdoctoral Science Foundation(China Postdoctoral Science Foundation); Jiangsu Postdoctoral Science Foundation(China Postdoctoral Science Foundation); Collaborative Innovation Center of Radiological Medicine of Jiangsu Higher Education Institutions - Priority Academic Program Development of Jiangsu Higher Education Institutions (PAPD)</t>
  </si>
  <si>
    <t>This work was supported by the National Key R&amp;D Program of China through MOST (Ministry of Science and Technology) (nos. 2018YFC0115704 and 2018YFC0115705), National Natural Science Foundation of China (no. 11405235), China Postdoctoral Science Foundation (2018M632367), Jiangsu Postdoctoral Science Foundation (no. 1701176B), Collaborative Innovation Center of Radiological Medicine of Jiangsu Higher Education Institutions, and a project funded by the Priority Academic Program Development of Jiangsu Higher Education Institutions (PAPD).</t>
  </si>
  <si>
    <t>2214-5524</t>
  </si>
  <si>
    <t>2214-5532</t>
  </si>
  <si>
    <t>LIFE SCI SPACE RES</t>
  </si>
  <si>
    <t>Life Sci. Space Res.</t>
  </si>
  <si>
    <t>10.1016/j.lssr.2019.05.001</t>
  </si>
  <si>
    <t>Astronomy &amp; Astrophysics; Life Sciences &amp; Biomedicine - Other Topics; Science &amp; Technology - Other Topics</t>
  </si>
  <si>
    <t>IR7FR</t>
  </si>
  <si>
    <t>WOS:000481606800001</t>
  </si>
  <si>
    <t>Liu, PY; Zhu, J; Lu, Y</t>
  </si>
  <si>
    <t>Marker-assisted selection in segregating generations of self-fertilizing crops</t>
  </si>
  <si>
    <t>QUANTITATIVE TRAIT LOCI; UTILIZING LINKAGE DISEQUILIBRIUM; RECURRENT SELECTION; SPRING BARLEY; EFFICIENCY; IMPROVEMENT; MAIZE; POPULATIONS; SIMULATION; LINES</t>
  </si>
  <si>
    <t>Computer simulations were used to study the efficiency of MAS for breeding self-fertilizing crops, based on a general model including additive, dominance and epistasis. It was shown that MAS not only gave larger genetic responses but also dramatically increased the frequencies of superior genotypes as compared with phenotypic selection. However, the advantages of MAS over phenotypic selection were considerably reduced when conducting selection in later generations. A modified method combining MAS in early generations with phenotypic selection in later generations was thus proposed from an efficiency standpoint. We also proposed a potential index to measure the probability of an individual showing superior genotypes under selfing. It was apparent that more superior genotypes could be derived from selection by using the potential index than by using other methods. The implications of these findings for plant breeding are discussed.</t>
  </si>
  <si>
    <t>Zhejiang Univ, Inst Bioinformat, Hangzhou 310029, Zhejiang, Peoples R China</t>
  </si>
  <si>
    <t>Zhejiang University</t>
  </si>
  <si>
    <t>Zhejiang Univ, Inst Bioinformat, Hangzhou 310029, Zhejiang, Peoples R China.</t>
  </si>
  <si>
    <t>jzhu@zju.edu.cn</t>
  </si>
  <si>
    <t>Zhu, Jun/B-9945-2009</t>
  </si>
  <si>
    <t>233 SPRING ST, NEW YORK, NY 10013 USA</t>
  </si>
  <si>
    <t>10.1007/s00122-004-1636-6</t>
  </si>
  <si>
    <t>842NT</t>
  </si>
  <si>
    <t>WOS:000223011800015</t>
  </si>
  <si>
    <t>de los Campos, G; Hickey, JM; Pong-Wong, R; Daetwyler, HD; Calus, MPL</t>
  </si>
  <si>
    <t>de los Campos, Gustavo; Hickey, John M.; Pong-Wong, Ricardo; Daetwyler, Hans D.; Calus, Mario P. L.</t>
  </si>
  <si>
    <t>Whole-Genome Regression and Prediction Methods Applied to Plant and Animal Breeding</t>
  </si>
  <si>
    <t>MARKER-ASSISTED SELECTION; QUANTITATIVE TRAIT LOCUS; GENETIC-RELATIONSHIP INFORMATION; DENSE MOLECULAR MARKERS; VARIABLE SELECTION; DAIRY-CATTLE; BEEF-CATTLE; MULTI-BREED; ENABLED PREDICTION; COMPLEX TRAITS</t>
  </si>
  <si>
    <t>Genomic-enabled prediction is becoming increasingly important in animal and plant breeding and is also receiving attention in human genetics. Deriving accurate predictions of complex traits requires implementing whole-genome regression (WGR) models where phenotypes are regressed on thousands of markers concurrently. Methods exist that allow implementing these large-p with small-n regressions, and genome-enabled selection (GS) is being implemented in several plant and animal breeding programs. The list of available methods is long, and the relationships between them have not been fully addressed. In this article we provide an overview of available methods for implementing parametric WGR models, discuss selected topics that emerge in applications, and present a general discussion of lessons learned from simulation and empirical data analysis in the last decade.</t>
  </si>
  <si>
    <t>[de los Campos, Gustavo] Univ Alabama Birmingham, Sch Publ Hlth, Dept Biostat, Birmingham, AL 35294 USA; [Hickey, John M.] Univ New England, Sch Environm &amp; Rural Sci, Armidale, NSW 2351, Australia; [Pong-Wong, Ricardo] Univ Edinburgh, Royal Dick Sch Vet Studies, Roslin Inst, Easter Bush EH25 9RG, Midlothian, Scotland; [Daetwyler, Hans D.] Dept Primary Ind, Biosci Res Div, Bundoora, Vic 3083, Australia; [Calus, Mario P. L.] Wageningen UR Livestock Res, Anim Breeding &amp; Genom Ctr, NL-8200 AB Lelystad, Netherlands</t>
  </si>
  <si>
    <t>University of Alabama System; University of Alabama Birmingham; University of New England; UK Research &amp; Innovation (UKRI); Biotechnology and Biological Sciences Research Council (BBSRC); Roslin Institute; University of Edinburgh; Department of Primary Industries &amp; Regional Development NSW; Wageningen University &amp; Research</t>
  </si>
  <si>
    <t>de los Campos, G (corresponding author), Univ Alabama Birmingham, 1665 Univ Blvd,327L Ryals Publ Hlth Bldg, Birmingham, AL 35216 USA.</t>
  </si>
  <si>
    <t>gcampos@uab.edu</t>
  </si>
  <si>
    <t>Calus, Mario/H-7627-2019; Daetwyler, Hans/H-9775-2019</t>
  </si>
  <si>
    <t>Daetwyler, Hans D/0000-0002-3018-3640; Pong-Wong, Ricardo/0000-0001-9808-2742; Calus, Mario/0000-0002-3213-704X</t>
  </si>
  <si>
    <t>Dutch Ministry of Economic Affairs, Agriculture, and Innovation (Programme Kennisbasis Research) [KB-17-003.02-006]; Cooperative Research Centre for Sheep Industry Innovation; Australian Research Council [LP100100880]; Genus Plc; Aviagen LTD; Pfizer; Australian Research Council [LP100100880] Funding Source: Australian Research Council</t>
  </si>
  <si>
    <t>Dutch Ministry of Economic Affairs, Agriculture, and Innovation (Programme Kennisbasis Research); Cooperative Research Centre for Sheep Industry Innovation(Australian GovernmentDepartment of Industry, Innovation and ScienceCooperative Research Centres (CRC) Programme); Australian Research Council(Australian Research Council); Genus Plc; Aviagen LTD; Pfizer(Pfizer); Australian Research Council(Australian Research Council)</t>
  </si>
  <si>
    <t>The authors thank D. J. de Koning and Lauren McIntyre for encouraging us to write this review article and for insightful comments provided on earlier versions of the manuscript. Mario Calus acknowledges financial support from the Dutch Ministry of Economic Affairs, Agriculture, and Innovation (Programme Kennisbasis Research, code KB-17-003.02-006). H.D.D. was funded by the Cooperative Research Centre for Sheep Industry Innovation. J. M. H. was funded by the Australian Research Council project LP100100880 of which Genus Plc, Aviagen LTD, and Pfizer are cofunders.</t>
  </si>
  <si>
    <t>+</t>
  </si>
  <si>
    <t>10.1534/genetics.112.143313</t>
  </si>
  <si>
    <t>088GH</t>
  </si>
  <si>
    <t>WOS:000314821300002</t>
  </si>
  <si>
    <t>Young, ND</t>
  </si>
  <si>
    <t>A cautiously optimistic vision for marker-assisted breeding</t>
  </si>
  <si>
    <t>advanced backcross analysis; DNA markers; marker-assisted selection; Monte Carlo simulation; quantitative trait loci; soybean cyst nematode</t>
  </si>
  <si>
    <t>QUANTITATIVE TRAIT LOCI; FRAGMENT LENGTH POLYMORPHISMS; BACKCROSS QTL ANALYSIS; MOLECULAR MARKERS; LYCOPERSICON-HIRSUTUM; DISEASE RESISTANCE; LINKAGE MAP; DNA; TOMATO; GENOME</t>
  </si>
  <si>
    <t>Even though marker-assisted selection now plays a prominent role in the field of plant breeding, examples of successful, practical outcomes are rare. It is clear that DNA markers hold great promise, but realizing that promise remains elusive. Despite innovations like better marker systems and improved genetic mapping strategies, most marker associations are not sufficiently robust for successful marker-assisted selection. In large part this is due to inadequate experimental design. Molecular breeders must reassess their research programs so that DNA marker work leads to useful selection tools and valuable germplasm. As molecular breeders adopt more rigorous experimental guidelines and ambitious goals, they also need to integrate the growing body of knowledge from genomics and bioinformatics.</t>
  </si>
  <si>
    <t>Univ Minnesota, Dept Plant Pathol, St Paul, MN 55108 USA; Univ Minnesota, Dept Plant Biol, St Paul, MN 55108 USA</t>
  </si>
  <si>
    <t>University of Minnesota System; University of Minnesota Twin Cities; University of Minnesota System; University of Minnesota Twin Cities</t>
  </si>
  <si>
    <t>Young, ND (corresponding author), Univ Minnesota, Dept Plant Pathol, 495 Borlaug Hall, St Paul, MN 55108 USA.</t>
  </si>
  <si>
    <t>Young, Nevin/0000-0001-6463-4772</t>
  </si>
  <si>
    <t>278HK</t>
  </si>
  <si>
    <t>WOS:000084983100002</t>
  </si>
  <si>
    <t>SIMMONDS, NW</t>
  </si>
  <si>
    <t>SELECTION FOR LOCAL ADAPTATION IN A PLANT-BREEDING PROGRAM</t>
  </si>
  <si>
    <t>ADAPTATION; VARIETAL STABILITY; GE INTERACTIONS; SIMULATION</t>
  </si>
  <si>
    <t>STRESS ENVIRONMENTS; YIELD; WHEAT; PERFORMANCE; VARIETIES; BARLEY</t>
  </si>
  <si>
    <t>Regressions of yields of cultivars upon means of sets of cultivars over diverse environments are often used as measures of stability/adaptability. Prolonged selection for performance in environments of high yield potential has generally led to unconscious selection for high regressions. If adaptation to poor environments is required (as it often is in Third World agriculture), common sense suggests that low regressions could be exploited for the purpose. Simulations show that systematic selection in the poor environment is required, not merely trials of potential cultivars after selection in a good environment. In effect, systematic exploitation of a GE interactions effect is proposed. The effects are large enough to reduce correlated responses in different environments to zero. Orderly experimental studies are needed but not available. What information there is does not disagree with the theory developed here.</t>
  </si>
  <si>
    <t>SIMMONDS, NW (corresponding author), EDINBURGH SCH AGR,W MAINS RD,EDINBURGH EH9 3JG,SCOTLAND.</t>
  </si>
  <si>
    <t>SPRINGER VERLAG</t>
  </si>
  <si>
    <t>175 FIFTH AVE, NEW YORK, NY 10010</t>
  </si>
  <si>
    <t>10.1007/BF02190624</t>
  </si>
  <si>
    <t>GE546</t>
  </si>
  <si>
    <t>WOS:A1991GE54600015</t>
  </si>
  <si>
    <t>Bink, MCAM; Totir, LR; ter Braak, CJF; Winkler, CR; Boer, MP; Smith, OS</t>
  </si>
  <si>
    <t>Bink, Marco C. A. M.; Totir, L. Radu; ter Braak, Cajo J. F.; Winkler, Christopher R.; Boer, Martin P.; Smith, Oscar S.</t>
  </si>
  <si>
    <t>QTL linkage analysis of connected populations using ancestral marker and pedigree information</t>
  </si>
  <si>
    <t>QUANTITATIVE TRAIT LOCI; PLANT-POPULATIONS; KERNEL HARDNESS; DOUGH STRENGTH; MODEL; MAIZE; SELECTION; FAMILIES; WHEAT; IDENTITY</t>
  </si>
  <si>
    <t>The common assumption in quantitative trait locus (QTL) linkage mapping studies that parents of multiple connected populations are unrelated is unrealistic for many plant breeding programs. We remove this assumption and propose a Bayesian approach that clusters the alleles of the parents of the current mapping populations from locus-specific identity by descent (IBD) matrices that capture ancestral marker and pedigree information. Moreover, we demonstrate how the parental IBD data can be incorporated into a QTL linkage analysis framework by using two approaches: a Threshold IBD model (TIBD) and a Latent Ancestral Allele Model (LAAM). The TIBD and LAAM models are empirically tested via numerical simulation based on the structure of a commercial maize breeding program. The simulations included a pilot dataset with closely linked QTL on a single linkage group and 100 replicated datasets with five linkage groups harboring four unlinked QTL. The simulation results show that including parental IBD data (similarly for TIBD and LAAM) significantly improves the power and particularly accuracy of QTL mapping, e.g., position, effect size and individuals' genotype probability without significantly increasing computational demand.</t>
  </si>
  <si>
    <t>[Bink, Marco C. A. M.; ter Braak, Cajo J. F.; Boer, Martin P.] Univ Wageningen &amp; Res Ctr, Dept Biometris, NL-6708 PB Wageningen, Netherlands; [Totir, L. Radu; Winkler, Christopher R.; Smith, Oscar S.] Pioneer HiBred Int Inc, Johnston, IA 50131 USA</t>
  </si>
  <si>
    <t>Wageningen University &amp; Research; DuPont; DuPont USA</t>
  </si>
  <si>
    <t>Bink, MCAM (corresponding author), Univ Wageningen &amp; Res Ctr, Dept Biometris, Droevendaalsesteeg 1, NL-6708 PB Wageningen, Netherlands.</t>
  </si>
  <si>
    <t>marco.bink@wur.nl</t>
  </si>
  <si>
    <t>ter Braak, Cajo/G-7006-2011</t>
  </si>
  <si>
    <t>ter Braak, Cajo/0000-0002-0414-8745; Boer, Martin P./0000-0002-1879-4588</t>
  </si>
  <si>
    <t>10.1007/s00122-011-1772-8</t>
  </si>
  <si>
    <t>912FN</t>
  </si>
  <si>
    <t>WOS:000301780200011</t>
  </si>
  <si>
    <t>Nunes, JAR; Ramalho, MAP; Ferreira, DF</t>
  </si>
  <si>
    <t>Rodrigues Nunes, Jose Airton; Patto Ramalho, Magno Antonio; Ferreira, Daniel Furtado</t>
  </si>
  <si>
    <t>Inclusion of genetic relationship information in the pedigree selection method using mixed models</t>
  </si>
  <si>
    <t>GENETICS AND MOLECULAR BIOLOGY</t>
  </si>
  <si>
    <t>autogamous crops; BLUP; computer simulation; plant breeding</t>
  </si>
  <si>
    <t>We used a mixed model approach and computer simulation to evaluate the inclusion of parentage information as determined by the genealogy established in the pedigree method. The simulations were based on a purely additive genetic model for one quantitative trait of 20 unlinked segregating loci with equal effects and an allelic frequency of 0.5 for heritability values of 10%, 25%, 50% and 75% for selection based on an F-4:5 progeny mean. We simulated 1000 experiments for each heritability value, corresponding to the evaluation of 256 F-4:5 progenies. The phenotypic values of the progenies were analyzed according to two models, one ignoring and one considering the additive genetic parentage among the progenies. The additive relationship coefficients among F-4:5 progenies ranged from 0.0 to 1.75. The evaluated selection procedures were the phenotypic progeny mean (M) and the best linear unbiased predictor including parentage (BLUPA). The inclusion of parentage among progenies using the BLUPA procedure resulted in higher selection gains than when the relationship information was ignored, which possibly recompenses the additional work invested to obtain these records, above all in the case of low - heritability traits.</t>
  </si>
  <si>
    <t>[Rodrigues Nunes, Jose Airton] Univ Fed Piaui, Ctr Ciencias Agr, Dept Planajamento &amp; Polit Agr, BR-64049550 Teresina, PI, Brazil; [Patto Ramalho, Magno Antonio] Univ Fed Lavras, Dept Biol, Lavras, MG, Brazil; [Ferreira, Daniel Furtado] Univ Fed Lavras, Dept Ciencias Exatas, Lavras, MG, Brazil</t>
  </si>
  <si>
    <t>Universidade Federal do Piaui; Universidade Federal de Lavras; Universidade Federal de Lavras</t>
  </si>
  <si>
    <t>Nunes, JAR (corresponding author), Univ Fed Piaui, Ctr Ciencias Agr, Dept Planajamento &amp; Polit Agr, BR-64049550 Teresina, PI, Brazil.</t>
  </si>
  <si>
    <t>jarnunes@ufpi.br</t>
  </si>
  <si>
    <t>Nunes, Jose Airton/S-3584-2016; Furtado Ferreira, Daniel/S-6342-2019</t>
  </si>
  <si>
    <t>Nunes, Jose Airton/0000-0002-6260-7890; Furtado Ferreira, Daniel/0000-0002-4371-5239</t>
  </si>
  <si>
    <t>SOC BRASIL GENETICA</t>
  </si>
  <si>
    <t>RIBEIRAO PRET</t>
  </si>
  <si>
    <t>RUA CAP ADELMIO NORBET DA SILVA, 736, ALTO DA BOA VISTA, 14025-670 RIBEIRAO PRET, BRAZIL</t>
  </si>
  <si>
    <t>1415-4757</t>
  </si>
  <si>
    <t>1678-4685</t>
  </si>
  <si>
    <t>GENET MOL BIOL</t>
  </si>
  <si>
    <t>Genet. Mol. Biol.</t>
  </si>
  <si>
    <t>10.1590/S1415-47572008000100015</t>
  </si>
  <si>
    <t>281HH</t>
  </si>
  <si>
    <t>WOS:000254487000015</t>
  </si>
  <si>
    <t>Covarrubias-Pazaran, G; Gebeyehu, Z; Gemenet, D; Werner, C; Labroo, M; Sirak, S; Coaldrake, P; Rabbi, I; Kayondo, SI; Parkes, E; Kanju, E; Mbanjo, EGN; Agbona, A; Kulakow, P; Quinn, M; Debaene, J</t>
  </si>
  <si>
    <t>Covarrubias-Pazaran, Giovanny; Gebeyehu, Zelalem; Gemenet, Dorcus; Werner, Christian; Labroo, Marlee; Sirak, Solomon; Coaldrake, Peter; Rabbi, Ismail; Kayondo, Siraj Ismail; Parkes, Elizabeth; Kanju, Edward; Mbanjo, Edwige Gaby Nkouaya; Agbona, Afolabi; Kulakow, Peter; Quinn, Michael; Debaene, Jan</t>
  </si>
  <si>
    <t>Breeding Schemes: What Are They, How to Formalize Them, and How to Improve Them?</t>
  </si>
  <si>
    <t>breeding scheme; breeding pipeline; market segment; product profile; continuous improvement; genetic simulation</t>
  </si>
  <si>
    <t>SELECTION; SIMULATION; PACKAGE; NEED</t>
  </si>
  <si>
    <t>Formalized breeding schemes are a key component of breeding program design and a gateway to conducting plant breeding as a quantitative process. Unfortunately, breeding schemes are rarely defined, expressed in a quantifiable format, or stored in a database. Furthermore, the continuous review and improvement of breeding schemes is not routinely conducted in many breeding programs. Given the rapid development of novel breeding methodologies, it is important to adopt a philosophy of continuous improvement regarding breeding scheme design. Here, we discuss terms and definitions that are relevant to formalizing breeding pipelines, market segments and breeding schemes, and we present a software tool, Breeding Pipeline Manager, that can be used to formalize and continuously improve breeding schemes. In addition, we detail the use of continuous improvement methods and tools such as genetic simulation through a case study in the International Institute of Tropical Agriculture (IITA) Cassava east-Africa pipeline. We successfully deploy these tools and methods to optimize the program size as well as allocation of resources to the number of parents used, number of crosses made, and number of progeny produced. We propose a structured approach to improve breeding schemes which will help to sustain the rates of response to selection and help to deliver better products to farmers and consumers.</t>
  </si>
  <si>
    <t>[Covarrubias-Pazaran, Giovanny; Gemenet, Dorcus; Werner, Christian; Labroo, Marlee; Sirak, Solomon; Coaldrake, Peter; Quinn, Michael; Debaene, Jan] Consultat Grp Int Agr Res, Excellence Breeding Platform, Texcoco, Mexico; [Gemenet, Dorcus; Werner, Christian; Labroo, Marlee; Quinn, Michael; Debaene, Jan] Int Maize &amp; Wheat Improvement Ctr CIMMYT, Texcoco, Mexico; [Rabbi, Ismail; Kayondo, Siraj Ismail; Parkes, Elizabeth; Kanju, Edward; Mbanjo, Edwige Gaby Nkouaya; Agbona, Afolabi; Kulakow, Peter] Int Inst Trop Agr IITA, Ibadan, Nigeria</t>
  </si>
  <si>
    <t>CGIAR; International Maize &amp; Wheat Improvement Center (CIMMYT); CGIAR; International Institute of Tropical Agriculture (IITA)</t>
  </si>
  <si>
    <t>Covarrubias-Pazaran, G (corresponding author), Consultat Grp Int Agr Res, Excellence Breeding Platform, Texcoco, Mexico.</t>
  </si>
  <si>
    <t>g.covarrubias@cgiar.org</t>
  </si>
  <si>
    <t>Kayondo, Ismail/AAB-5425-2020</t>
  </si>
  <si>
    <t>sirak, Solomon Hailemelekot/0009-0005-4718-5203; Gemenet, Dorcus/0000-0003-4901-1694</t>
  </si>
  <si>
    <t>Breeding Platform received funding from the Bill and Melinda Gates Foundation (BMGF) [OPP1177070]; Bill and Melinda Gates Foundation [OPP1177070] Funding Source: Bill and Melinda Gates Foundation</t>
  </si>
  <si>
    <t>Breeding Platform received funding from the Bill and Melinda Gates Foundation (BMGF); Bill and Melinda Gates Foundation(Bill &amp; Melinda Gates Foundation)</t>
  </si>
  <si>
    <t>Funding The Excellence in Breeding Platform received funding from the Bill and Melinda Gates Foundation (BMGF) grant number OPP1177070.</t>
  </si>
  <si>
    <t>JAN 21</t>
  </si>
  <si>
    <t>10.3389/fpls.2021.791859</t>
  </si>
  <si>
    <t>YU1QV</t>
  </si>
  <si>
    <t>WOS:000751825000001</t>
  </si>
  <si>
    <t>Manschadi, AM; Christopher, JT; Hammer, GL; Devoil, P</t>
  </si>
  <si>
    <t>Manschadi, A. M.; Christopher, J. T.; Hammer, G. L.; Devoil, P.</t>
  </si>
  <si>
    <t>Experimental and modelling studies of drought-adaptive root architectural traits in wheat (Triticum aestivum L.)</t>
  </si>
  <si>
    <t>PLANT BIOSYSTEMS</t>
  </si>
  <si>
    <t>7th Symposium of the International-Society-of-Root-Research</t>
  </si>
  <si>
    <t>SEP 02-04, 2009</t>
  </si>
  <si>
    <t>Vienna, AUSTRIA</t>
  </si>
  <si>
    <t>Int Soc Root Res</t>
  </si>
  <si>
    <t>Root chambers; rooting depth; root-length density; soil water content; stay-green phenotype; water-scarce environments</t>
  </si>
  <si>
    <t>CROPPING SYSTEMS PERSPECTIVE; SIMULATION CAPABILITIES; WATER; ADAPTATION; AUSTRALIA</t>
  </si>
  <si>
    <t>This paper presents an interdisciplinary approach to crop improvement that links physiology with plant breeding and simulation modelling to enhance the selection of high-yielding, drought-tolerant varieties. In a series of field experiments in Queensland, Australia, we found that the yield of CIMMYT wheat line SeriM82 ranged from 6% to 28% greater than the current cultivar Hartog. Physiological studies on the adaptive traits revealed that SeriM82 had a narrower root architecture and extracted more soil moisture, particularly deep in the profile. Results of a simulation analysis of these adaptive root traits with the cropping system model APSIM for a range of rain-fed environments in southern Queensland indicated a mean relative yield benefit of 14.5% in water-deficit seasons. Furthermore, each additional millimetre of water extracted during grain filling generated an extra 55 kg ha-1 of grain yield. Further root studies of a large number of wheat genotypes revealed that wheat root architecture is closely linked to the angle of seminal roots at the seedling stage - a trait which is suitable for large-scale and cost-effective screening programmes. Overall, our results suggest that an interdisciplinary approach to crop improvement is likely to enhance the rate of yield improvement in rain-fed crops.</t>
  </si>
  <si>
    <t>[Manschadi, A. M.] Univ Bonn, Dept Ecol &amp; Nat Resource Management, Ctr Dev Res ZEF, D-53113 Bonn, Germany; [Hammer, G. L.] Univ Queensland, Sch Land &amp; Food Sci, APSRU, Brisbane, Qld 4072, Australia</t>
  </si>
  <si>
    <t>University of Bonn; University of Queensland; Commonwealth Scientific &amp; Industrial Research Organisation (CSIRO)</t>
  </si>
  <si>
    <t>Manschadi, AM (corresponding author), Univ Bonn, Dept Ecol &amp; Nat Resource Management, Ctr Dev Res ZEF, Walter Flex St 3, D-53113 Bonn, Germany.</t>
  </si>
  <si>
    <t>manschadi@uni-bonn.de</t>
  </si>
  <si>
    <t>Christopher, Jack/B-1330-2011; Hammer, Graeme/A-3785-2008</t>
  </si>
  <si>
    <t>Christopher, Jack/0000-0001-8873-1059; Hammer, Graeme/0000-0002-1180-7374</t>
  </si>
  <si>
    <t>TAYLOR &amp; FRANCIS LTD</t>
  </si>
  <si>
    <t>ABINGDON</t>
  </si>
  <si>
    <t>4 PARK SQUARE, MILTON PARK, ABINGDON OX14 4RN, OXON, ENGLAND</t>
  </si>
  <si>
    <t>1126-3504</t>
  </si>
  <si>
    <t>PLANT BIOSYST</t>
  </si>
  <si>
    <t>Plant Biosyst.</t>
  </si>
  <si>
    <t>PII 925191346</t>
  </si>
  <si>
    <t>10.1080/11263501003731805</t>
  </si>
  <si>
    <t>Science Citation Index Expanded (SCI-EXPANDED); Conference Proceedings Citation Index - Science (CPCI-S)</t>
  </si>
  <si>
    <t>635DP</t>
  </si>
  <si>
    <t>WOS:000280636100022</t>
  </si>
  <si>
    <t>Trethowan, RM; Rajaram, S; Ellison, FW</t>
  </si>
  <si>
    <t>Pre-harvest sprouting tolerance of wheat in the field and under rain simulation</t>
  </si>
  <si>
    <t>grain dormancy; rain simulation; falling number; temperature; rainfall</t>
  </si>
  <si>
    <t>TEMPERATURE; TRITICALE; GRAIN</t>
  </si>
  <si>
    <t>Segregating and fixed lines, selected under controlled conditions in the rain simulator at the Plant Breeding Institute (PBI), were evaluated and selected further in the field at the International Maize and Wheat Improvement Centre's (CIMMYT) Toluca field station, Mexico. The field evaluation was conducted under natural rainfall to confirm the effectiveness of the selected tolerance. Plots at Toluca were sampled at 10 and 21 days post physiological maturity. Percent visible sprouting was determined and a sprouting index calculated. After the final sampling date, plots were harvested and falling number was measured. Standard partial regression coefficients indicated that plant maturity was the major influence on visible germination (r = 0.80***) among families, whilst fluctuations in minimum temperature in the 10 days immediately following physiological maturity had the greatest effect on sprouting tolerance both within families (r = -0.78***) and across all data points (r = -0.52***). The influence of temperature, rainfall, and plant maturity on falling number measurements was less well defined, with fluctuations in minimum temperature prior to (r = -0.22***), and maximum temperature following (r = 0.27***), physiological maturity the only major influences. Preharvest sprouting tolerance determined by rain simulation at PBI in 1993 correlated significantly with field estimates of tolerance at Toluca in 1994 (r = 0.76***).</t>
  </si>
  <si>
    <t>UNIV SYDNEY,PBI,NARRABRI,NSW 2390,AUSTRALIA; INT MAIZE &amp; WHEAT IMPROVEMENT CTR,MEXICO CITY 06600,DF,MEXICO</t>
  </si>
  <si>
    <t>University of Sydney; CGIAR; International Maize &amp; Wheat Improvement Center (CIMMYT)</t>
  </si>
  <si>
    <t>Trethowan, Richard/ADZ-7680-2022</t>
  </si>
  <si>
    <t>Trethowan, Richard/0000-0003-0105-875X</t>
  </si>
  <si>
    <t>C S I R O PUBLICATIONS</t>
  </si>
  <si>
    <t>COLLINGWOOD</t>
  </si>
  <si>
    <t>150 OXFORD ST, PO BOX 1139, COLLINGWOOD VICTORIA 3066, AUSTRALIA</t>
  </si>
  <si>
    <t>10.1071/AR9960705</t>
  </si>
  <si>
    <t>UT123</t>
  </si>
  <si>
    <t>WOS:A1996UT12300006</t>
  </si>
  <si>
    <t>Ren, W; Gong, XP; Li, K; Zhang, HW; Chen, FJ; Pan, QC</t>
  </si>
  <si>
    <t>Ren, Wei; Gong, Xiaoping; Li, Kun; Zhang, Hongwei; Chen, Fanjun; Pan, Qingchun</t>
  </si>
  <si>
    <t>Recombination Pattern Characterization via Simulation Using Different Maize Populations</t>
  </si>
  <si>
    <t>INTERNATIONAL JOURNAL OF MOLECULAR SCIENCES</t>
  </si>
  <si>
    <t>maize; simulation; recombination; doubled haploid; population</t>
  </si>
  <si>
    <t>QUANTITATIVE TRAIT LOCI; MEIOTIC RECOMBINATION; DRAFT SEQUENCE; RICE</t>
  </si>
  <si>
    <t>Efficient recombination is critical to both plant breeding and gene cloning. However, almost all traditional recombination studies and genetic improvements require the slow and labor-intensive population construction process, and little is known about the recombination characteristics of populations of different types, generations, and origins. Here, we provide a simple and efficient simulation method for population construction based on doubled haploid (DH) and intermated B73 x Mo17 maize (IBM) populations to predict the recombination pattern. We found that the chromosomes had 0, 1, 2, and 3 recombination events that occurred at rates of 0.16, 0.30, 0.23, and 0.15, respectively, in the DH and the recombination rate of each chromosome in the IBM population ranged from 0 to 12.1 cM per 125 kb. Based on the observed recombination parameters, we estimated the number of recombination events and constructed the linkage maps of the simulated DH and recombination inbred line (RIL) populations. These simulated populations exhibited similar recombination patterns compared with the real populations, suggesting the feasibility of this simulation approach. We then compared the recombination rates of the simulated populations of different types (DH induced or self-crossed), generations, and origins (using the 8, 16, and 32 multiparent advanced generation intercross (MAGIC) populations), and suggested a rapid and cost-effective population construction procedure for breeders and geneticists, while maintaining an optimal recombination rate. This study offers a convenient method for optimizing the population construction process and has broader implications for other crop species, thereby facilitating future population studies and genetic improvement strategies.</t>
  </si>
  <si>
    <t>[Ren, Wei; Gong, Xiaoping; Chen, Fanjun; Pan, Qingchun] China Agr Univ, Minist Educ, Key Lab Plant Soil Interact, Coll Resources &amp; Environm Sci,Natl Acad Agr Green, Beijing 100193, Peoples R China; [Li, Kun; Zhang, Hongwei] Chinese Acad Agr Sci, Inst Crop Sci, Beijing 100081, Peoples R China</t>
  </si>
  <si>
    <t>China Agricultural University; Chinese Academy of Agricultural Sciences; Institute of Crop Sciences, CAAS</t>
  </si>
  <si>
    <t>Pan, QC (corresponding author), China Agr Univ, Minist Educ, Key Lab Plant Soil Interact, Coll Resources &amp; Environm Sci,Natl Acad Agr Green, Beijing 100193, Peoples R China.</t>
  </si>
  <si>
    <t>renwei2012@126.com; littlepgong@163.com; likun01@caas.cn; zhanghongwei@caas.cn; caucfj@cau.edu.cn; panqingchun@cau.edu.cn</t>
  </si>
  <si>
    <t>Zhang, Hongwei/L-5137-2019; Ren, Wei/ABF-2603-2021</t>
  </si>
  <si>
    <t>Pan, Qingchun/0000-0001-8462-3165; Ren, Wei/0000-0001-6050-660X; Zhang, Hongwei/0000-0002-5737-6151</t>
  </si>
  <si>
    <t>Ministry of Science and Technology of the People's Republic of China [2016YFD0100700]; National Natural Science Foundation of China [31972485, 31971948]</t>
  </si>
  <si>
    <t>Ministry of Science and Technology of the People's Republic of China(Ministry of Science and Technology, China); National Natural Science Foundation of China(National Natural Science Foundation of China (NSFC))</t>
  </si>
  <si>
    <t>This work was financially supported by the Ministry of Science and Technology of the People's Republic of China, grant number 2016YFD0100700 and the National Natural Science Foundation of China, grant numbers 31972485 and 31971948.</t>
  </si>
  <si>
    <t>1422-0067</t>
  </si>
  <si>
    <t>INT J MOL SCI</t>
  </si>
  <si>
    <t>Int. J. Mol. Sci.</t>
  </si>
  <si>
    <t>10.3390/ijms21062222</t>
  </si>
  <si>
    <t>Biochemistry &amp; Molecular Biology; Chemistry</t>
  </si>
  <si>
    <t>LJ0UU</t>
  </si>
  <si>
    <t>WOS:000529890200318</t>
  </si>
  <si>
    <t>Garcia-Abadillo, J; Morales, L; Buerstmayr, H; Michel, S; Lillemo, M; Holzapfel, J; Hartl, L; Akdemir, D; Carvalho, HF; Isidro-Sánchez, J</t>
  </si>
  <si>
    <t>Garcia-Abadillo, J.; Morales, L.; Buerstmayr, H.; Michel, S.; Lillemo, M.; Holzapfel, J.; Hartl, L.; Akdemir, D.; Carvalho, H. F.; Isidro-Sanchez, J.</t>
  </si>
  <si>
    <t>Alternative scoring methods of fusarium head blight resistance for genomic assisted breeding</t>
  </si>
  <si>
    <t>genomic selection (GS); fusarium head blight (FHB); wheat; quantitative resistance; plant breeding; simulation and empirical evidence</t>
  </si>
  <si>
    <t>SEPTORIA-TRITICI BLOTCH; DISEASE-PROGRESS CURVE; WHEAT; PREDICTION; SELECTION; COMPONENTS; DEOXYNIVALENOL; ACCURACY; CEREALS; MODELS</t>
  </si>
  <si>
    <t>Fusarium head blight (FHB) is a fungal disease of wheat (Triticum aestivum.L) that causes yield losses and produces mycotoxins which could easily exceed the limits of the EU regulations. Resistance to FHB has a complex genetic architecture and accurate evaluation in breeding programs is key to selecting resistant varieties. The Area Under the Disease Progress Curve (AUDPC) is one of the commonly metric used as a standard methodology to score FHB. Although efficient, AUDPC requires significant costs in phenotyping to cover the entire disease development pattern. Here, we show that there are more efficient alternatives to AUDPC (angle, growing degree days to reach 50% FHB severity, and FHB maximum variance) that reduce the number of field assessments required and allow for fair comparisons between unbalanced evaluations across trials. Furthermore, we found that the evaluation method that captures the maximum variance in FHB severity across plots is the most optimal approach for scoring FHB. In addition, results obtained on experimental data were validated on a simulated experiment where the disease progress curve was modeled as a sigmoid curve with known parameters and assessment protocols were fully controlled. Results show that alternative metrics tested in this study captured key components of quantitative plant resistance. Moreover, the new metrics could be a starting point for more accurate methods for measuring FHB in the field. For example, the optimal interval for FHB evaluation could be predicted using prior knowledge from historical weather data and FHB scores from previous trials. Finally, the evaluation methods presented in this study can reduce the FHB phenotyping burden in plant breeding with minimal losses on signal detection, resulting in a response variable available to use in data-driven analysis such as genome-wide association studies or genomic selection.</t>
  </si>
  <si>
    <t>[Garcia-Abadillo, J.; Carvalho, H. F.; Isidro-Sanchez, J.] UPM, Ctr Biotechnol &amp; Plant Genom CBGP, Dept Biotechnol &amp; Plant Biol, Madrid, Spain; [Morales, L.; Buerstmayr, H.; Michel, S.] Univ Nat Resources &amp; Life Sci Vienna BOKU, Inst Biotechnol Plant Prod, Dept Agrobiotechnol, Tulln An Der Donau, Austria; [Lillemo, M.] Norwegian Univ Life Sci NMBU, Dept Plant Sci, As, Norway; [Holzapfel, J.] Secobra Saatzucht GmbH, Moosburg, Germany; [Hartl, L.] Inst Crop Sci &amp; Plant Breeding, Bavarian State Res Ctr Agr, Freising Weihenstephan, Germany; [Akdemir, D.] CIBMTR Ctr Int Blood &amp; Marrow Transplant Res, Natl Marrow Donor Program Be Match, Minneapolis, MN USA</t>
  </si>
  <si>
    <t>Universidad Politecnica de Madrid; Centro de Investigacion en Biotecnologia Genomica de Plantas (CBGP); BOKU University; Norwegian University of Life Sciences; Center for International Blood &amp; Marrow Transplant Research; National Marrow Donor Program</t>
  </si>
  <si>
    <t>Garcia-Abadillo, J; Isidro-Sánchez, J (corresponding author), UPM, Ctr Biotechnol &amp; Plant Genom CBGP, Dept Biotechnol &amp; Plant Biol, Madrid, Spain.</t>
  </si>
  <si>
    <t>j.gvelasco@upm.es</t>
  </si>
  <si>
    <t>Akdemir, Deniz/ABC-2712-2020; Hartl, Lorenz/Z-2345-2019; Buerstmayr, Hermann/AAG-8583-2021; Morales, Laura/L-2509-2019; Isidro Sanchez, Julio/L-3174-2015; Fanelli Carvalho, Humberto/Q-1696-2016</t>
  </si>
  <si>
    <t>Fanelli Carvalho, Humberto/0000-0003-0745-7583; Garcia Abadillo Velasco, Julian/0000-0002-4672-8908; Morales, Laura/0000-0002-0403-035X; Isidro y Sanchez, Julio/0000-0002-9044-3221; Hartl, Lorenz/0000-0003-1448-3616</t>
  </si>
  <si>
    <t>ERA-NET Cofund SusCrop (Horizon 2020 Grant), Joint Programming Initiative on Agriculture, Food Security and Climate Change (FACCE-JPI) [771134]; Beatriz GalindoProgram from the Ministerio de Educacion y Formacion Profesional of Spain [BEAGAL18/00115]; Severo Ochoa Program for Centres of Excellence in R&amp;D from the Agencia Estatal de Investigacion of Spain [SEV-2016-0672]; Universidad Politecnica de Madrid; Austrian Federal Ministry of Agriculture, Regions and Tourism [DaFNE-101402]; Research Council of Norway (NFR grant) [299615]; Deutsches Bundesministerium fur Bildung und Forschung [031B0810]; H2020 Societal Challenges Programme [771134] Funding Source: H2020 Societal Challenges Programme</t>
  </si>
  <si>
    <t>ERA-NET Cofund SusCrop (Horizon 2020 Grant), Joint Programming Initiative on Agriculture, Food Security and Climate Change (FACCE-JPI); Beatriz GalindoProgram from the Ministerio de Educacion y Formacion Profesional of Spain; Severo Ochoa Program for Centres of Excellence in R&amp;D from the Agencia Estatal de Investigacion of Spain(Spanish Government); Universidad Politecnica de Madrid; Austrian Federal Ministry of Agriculture, Regions and Tourism; Research Council of Norway (NFR grant)(Research Council of Norway); Deutsches Bundesministerium fur Bildung und Forschung(Federal Ministry of Education &amp; Research (BMBF)); H2020 Societal Challenges Programme(Horizon 2020European Union (EU)H2020 Societal Challenges Programme)</t>
  </si>
  <si>
    <t>The WheatSustain project was carried out under the ERA-NET Cofund SusCrop (Horizon 2020 Grant No 771134), being part of the Joint Programming Initiative on Agriculture, Food Security and Climate Change (FACCE-JPI). I-SJ was supported by the Beatriz GalindoProgram (BEAGAL18/00115) from the Ministerio de Educacion y Formacion Profesional of Spain and the Severo Ochoa Program for Centres of Excellence in R&amp;D from the Agencia Estatal de Investigacion of Spain, grant SEV-2016-0672 (2017-2021) to the CBGP. G-AJ is working under a UPM predoctoral grant as part of the programme Programa Propio I+D+i financed by the Universidad Politecnica de Madrid. ML, MS, and BH were supported by the Austrian Federal Ministry of Agriculture, Regions and Tourism (grantnumber DaFNE-101402). LM was supported by the Research Council of Norway (NFR grant 299615), and and HL by Deutsches Bundesministerium fuer Bildung und Forschung (031B0810).</t>
  </si>
  <si>
    <t>JAN 11</t>
  </si>
  <si>
    <t>10.3389/fpls.2022.1057914</t>
  </si>
  <si>
    <t>8P8FT</t>
  </si>
  <si>
    <t>WOS:000926754800001</t>
  </si>
  <si>
    <t>da Silva, EDB; Xavier, A; Faria, MV</t>
  </si>
  <si>
    <t>Borges da Silva, Eder David; Xavier, Alencar; Faria, Marcos Ventura</t>
  </si>
  <si>
    <t>Joint Modeling of Genetics and Field Variation in Plant Breeding Trials Using Relationship and Different Spatial Methods: A Simulation Study of Accuracy and Bias</t>
  </si>
  <si>
    <t>AGRONOMY-BASEL</t>
  </si>
  <si>
    <t>field plot variation; spatial adjustment; genomic selections; soybean breeding; spatial modeling</t>
  </si>
  <si>
    <t>STATISTICAL-ANALYSIS; PHENOTYPIC SELECTION; GENOMIC RELATIONSHIP; RELATIONSHIP MATRIX; GAUSSIAN FIELDS; YIELD TRIALS; PREDICTION; DESIGNS; INFORMATION; PEDIGREE</t>
  </si>
  <si>
    <t>Modelling field spatial patterns is standard practice for the analysis of plant breeding. Jointly fitting the genetic relationship among individuals and spatial information enables better separability between the variance due to genetics and field variation. This study aims to quantify the accuracy and bias of estimative parameters using different approaches. We contrasted three settings for the genetic term: no relationship (I), pedigree relationship (A), and genomic relationship (G); and a set of approaches for the spatial variation: no-spatial (NS), moving average covariate (MA), row-column adjustment (RC), autoregressive AR1 x AR1 (AR), spatial stochastic partial differential equations, or SPDE (SD), nearest neighbor graph (NG), and Gaussian kernel (GK). Simulations were set to represent soybean field trials at F-2:4 generation. Heritability was sampled from a uniform distribution U(0,1). The simulated residual-to-spatial ratio between residual variance and spatial variance (Ve:Vs) ranged from 9:1 to 1:9. Experimental settings were conducted under an augmented block design with the systematic distribution of checks accounting for 10% of the plots. Relationship information had a substantial impact on the accuracy of the genetic values (G &gt; A &gt; I) and contributed to the accuracy of spatial effects (30.63-42.27% improvement). Spatial models were ranked based on an improvement to the accuracy of estimative of genetic effects as SD &gt;= GK &gt;= AR &gt;= NG &gt;= MA &gt; RC &gt;= NS, and to the accuracy of estimative of spatial effects as GK &gt;= SD &gt;= NG &gt; AR &gt;= MA &gt; RC. Estimates of genetic and spatial variance were generally biased downwards, whereas residual variances were biased upwards. The advent of relationship information reduced the bias of all variance components. Spatial methods SD, AR, and GK provided the least biased estimates of spatial and residual variance.</t>
  </si>
  <si>
    <t>[Borges da Silva, Eder David] Corteva Agrisci, Dept Plant Breeding, Rio Verde Res Stn, BR-75909796 Rio Verde, Go, Brazil; [Borges da Silva, Eder David; Faria, Marcos Ventura] Univ Estadual Centro Oeste, Dept Agron, BR-85040167 Guarapuava, PR, Brazil; [Xavier, Alencar] Corteva Agrisci, Dept Biostat, Johnston, IA 50131 USA; [Xavier, Alencar] Purdue Univ, Dept Agron, W Lafayette, IN 47907 USA</t>
  </si>
  <si>
    <t>Universidade Estadual do Centro Oeste; Purdue University System; Purdue University</t>
  </si>
  <si>
    <t>da Silva, EDB (corresponding author), Corteva Agrisci, Dept Plant Breeding, Rio Verde Res Stn, BR-75909796 Rio Verde, Go, Brazil.;da Silva, EDB (corresponding author), Univ Estadual Centro Oeste, Dept Agron, BR-85040167 Guarapuava, PR, Brazil.</t>
  </si>
  <si>
    <t>eder.silva@corteva.com; alencar.xavier@corteva.com; mfaria@unicentro.br</t>
  </si>
  <si>
    <t>Ventura Faria, Marcos/JMB-6559-2023; Ventura Faria, Marcos/D-7517-2018; Xavier, Alencar/AAC-3094-2020</t>
  </si>
  <si>
    <t>Ventura Faria, Marcos/0000-0001-8077-4708; Borges da Silva, Eder David/0000-0001-7121-0759; Xavier, Alencar/0000-0001-5034-9954</t>
  </si>
  <si>
    <t>2073-4395</t>
  </si>
  <si>
    <t>Agronomy-Basel</t>
  </si>
  <si>
    <t>10.3390/agronomy11071397</t>
  </si>
  <si>
    <t>TN1EP</t>
  </si>
  <si>
    <t>WOS:000675986300001</t>
  </si>
  <si>
    <t>Ballén-Taborda, C; Lyerly, J; Smith, J; Howell, K; Brown-Guedira, G; Dewitt, N; Ward, B; Babar, MA; Harrison, SA; Mason, RE; Mergoum, M; Murphy, JP; Sutton, R; Griffey, CA; Boyles, RE</t>
  </si>
  <si>
    <t>Ballen-Taborda, Carolina; Lyerly, Jeanette; Smith, Jared; Howell, Kimberly; Brown-Guedira, Gina; Dewitt, Noah; Ward, Brian; Babar, Md Ali; Harrison, Stephen A.; Mason, Richard E.; Mergoum, Mohamed; Murphy, J. Paul; Sutton, Russell; Griffey, Carl A.; Boyles, Richard E.</t>
  </si>
  <si>
    <t>Predicting superior crosses in winter wheat using genomics: A retrospective study to assess accuracy</t>
  </si>
  <si>
    <t>GENETIC VARIANCE; SELECTION; ASSOCIATION; POPULATION; YIELD; LOCI</t>
  </si>
  <si>
    <t>In plant breeding, selecting cross-combinations that are more likely to result in superior lines for cultivar development is critical. This step, however, is subjective with decisions being based on available genomic and phenotypic data for prospective parents. Genomic prediction (GP) provides new opportunities to accelerate genetic gain for a target trait by identifying superior crosses through simulation of progeny performance. In this context, this study deployed GP using the phenotype and genotype of potential parents to predict the progeny genetic variance (VG) and means of overall, inferior 10%, and superior 10% (mu, mu ip, and mu sp, respectively). This retrospective experimental design investigated whether the crosses that produced superior soft red winter wheat breeding lines would have been made if progeny simulations had guided crossing decisions of breeding programs. Here, data from historical wheat breeding lines were used to train GP models and predict VG and means for yield, test weight, heading date, and plant height for all combinations of 217 parents. Predicted and observed data for 670 lines derived from biparental crosses were compared to assess the accuracy of progeny simulations, and low-to-moderate prediction accuracy was observed for the four traits (0.25-0.52). Of the pedigrees that produced lines that were selected and advanced into later stage nurseries, 76% were predicted to give rise to progeny with above-average yield. The moderate correlation found between predicted progeny means and observed line per se performance justifies using cross-combination prediction as a tool to reduce crossing number and focus on segregating populations that harbor future cultivars. In plant breeding, selecting parents to be crossed is critical for developing superior progeny. Historical winter wheat data were used to assess the usefulness of genomic prediction for parental selection. Predicted yield and SunGrains breeders' assessment and selection largely agreed. Simulated progeny performance could allow breeders to focus on the most promising crosses.</t>
  </si>
  <si>
    <t>[Ballen-Taborda, Carolina; Boyles, Richard E.] Clemson Univ, Dept Plant &amp; Environm Sci, Clemson, SC 29634 USA; [Ballen-Taborda, Carolina; Boyles, Richard E.] Clemson Univ, Pee Dee Res &amp; Educ Ctr, Florence, SC 29506 USA; [Lyerly, Jeanette; Brown-Guedira, Gina; Murphy, J. Paul] North Carolina State Univ, Crop &amp; Soil Sci Dept, Raleigh, NC USA; [Smith, Jared; Howell, Kimberly; Brown-Guedira, Gina] USDA ARS, Plant Sci Res Unit, Raleigh, NC USA; [Dewitt, Noah; Harrison, Stephen A.] Louisiana State Univ, Sch Plant Environm Soil Sci, Baton Rouge, LA 70803 USA; [Ward, Brian] Forage Genet Int, West Salem, WI USA; [Babar, Md Ali] Univ Florida, Agron Dept, Gainesville, FL USA; [Mason, Richard E.] Colorado State Univ, Coll Agr Sci, Ft Collins, CO 80523 USA; [Mergoum, Mohamed] Univ Georgia, Dept Crop &amp; Soil Sci, Griffin, GA USA; [Sutton, Russell] Texas A&amp;M Univ, Dept Soil &amp; Crop Sci, College Stn, TX USA; [Griffey, Carl A.] Virginia Tech, Sch Plant &amp; Environm Sci, Blacksburg, VA USA</t>
  </si>
  <si>
    <t>Clemson University; Clemson University; North Carolina State University; United States Department of Agriculture (USDA); Louisiana State University System; Louisiana State University; State University System of Florida; University of Florida; Colorado State University System; Colorado State University Fort Collins; University System of Georgia; University of Georgia; Texas A&amp;M University System; Texas A&amp;M University College Station; Virginia Polytechnic Institute &amp; State University</t>
  </si>
  <si>
    <t>Ballén-Taborda, C (corresponding author), Clemson Univ, Dept Plant &amp; Environm Sci, Clemson, SC 29634 USA.</t>
  </si>
  <si>
    <t>acballe@clemson.edu</t>
  </si>
  <si>
    <t>Harrison, Stephen/GON-3283-2022</t>
  </si>
  <si>
    <t>DeWitt, Noah/0000-0001-9055-993X; Ballen Taborda, Ana Carolina/0000-0002-4995-7802; Harrison, Stephen/0000-0002-7007-4617; babar, Ali/0000-0001-9951-6856</t>
  </si>
  <si>
    <t>National Institute of Food and Agriculture [SC-2020-03599, 2021-67014-33941, FY22-SW-004]; USDA NIFA AFRI Foundational project; USDA-ARS Eastern Regional Small Grains Genotyping Laboratory (ERSGGL) in Raleigh, NC</t>
  </si>
  <si>
    <t>National Institute of Food and Agriculture(United States Department of Agriculture (USDA)National Institute of Food &amp; Agriculture); USDA NIFA AFRI Foundational project; USDA-ARS Eastern Regional Small Grains Genotyping Laboratory (ERSGGL) in Raleigh, NC</t>
  </si>
  <si>
    <t>This work was primarily supported by the USDA NIFA AFRI Foundational project SC-2020-03599 awarded to Richard E. Boyles Cultivar Development: Combining Genomics-Enabled Breeding with Coordinated Regional Testing to Accelerate Wheat Genotype to Market (award no. 2021-67014-33941), but also funded in part by the US Wheat &amp; Barley Scab Initiative within the Variety Development and Host Resistance Southern Winter Wheat Coordinated Project (FY22-SW-004). Historical phenotypic and genomic data were provided by the SunGrains breeding cooperative as many scientists, postdocs, students, and technicians have greatly contributed over the years to the collection and compilation of these data. The authors acknowledge the continuous genomics and genetics support from the USDA-ARS Eastern Regional Small Grains Genotyping Laboratory (ERSGGL) in Raleigh, NC.</t>
  </si>
  <si>
    <t>10.1002/csc2.21266</t>
  </si>
  <si>
    <t>MAY 2024</t>
  </si>
  <si>
    <t>ZF9H8</t>
  </si>
  <si>
    <t>WOS:001230603100001</t>
  </si>
  <si>
    <t>He, JB; Meng, S; Zhao, TJ; Xing, GN; Yang, SP; Li, Y; Guan, RZ; Lu, JJ; Wang, YF; Xia, QJ; Yang, B; Gai, JY</t>
  </si>
  <si>
    <t>He, Jianbo; Meng, Shan; Zhao, Tuanjie; Xing, Guangnan; Yang, Shouping; Li, Yan; Guan, Rongzhan; Lu, Jiangjie; Wang, Yufeng; Xia, Qiuju; Yang, Bing; Gai, Junyi</t>
  </si>
  <si>
    <t>An innovative procedure of genome-wide association analysis fits studies on germplasm population and plant breeding</t>
  </si>
  <si>
    <t>MIXED-MODEL; LINKAGE DISEQUILIBRIUM; AGRONOMIC TRAITS; HAPLOTYPE BLOCKS; PREDICTION; SELECTION; VARIANCE; GENETICS; STRATIFICATION; RECOMBINATION</t>
  </si>
  <si>
    <t>The innovative RTM-GWAS procedure provides a relatively thorough detection of QTL and their multiple alleles for germplasm population characterization, gene network identification, and genomic selection strategy innovation in plant breeding. The previous genome-wide association studies (GWAS) have been concentrated on finding a handful of major quantitative trait loci (QTL), but plant breeders are interested in revealing the whole-genome QTL-allele constitution in breeding materials/germplasm (in which tremendous historical allelic variation has been accumulated) for genome-wide improvement. To match this requirement, two innovations were suggested for GWAS: first grouping tightly linked sequential SNPs into linkage disequilibrium blocks (SNPLDBs) to form markers with multi-allelic haplotypes, and second utilizing two-stage association analysis for QTL identification, where the markers were preselected by single-locus model followed by multi-locus multi-allele model stepwise regression. Our proposed GWAS procedure is characterized as a novel restricted two-stage multi-locus multi-allele GWAS (RTM-GWAS). The Chinese soybean germplasm population (CSGP) composed of 1024 accessions with 36,952 SNPLDBs (generated from 145,558 SNPs, with reduced linkage disequilibrium decay distance) was used to demonstrate the power and efficiency of RTM-GWAS. Using the CSGP marker information, simulation studies demonstrated that RTM-GWAS achieved the highest QTL detection power and efficiency compared with the previous procedures, especially under large sample size and high trait heritability conditions. A relatively thorough detection of QTL with their multiple alleles was achieved by RTM-GWAS compared with the linear mixed model method on 100-seed weight in CSGP. A QTL-allele matrix (402 alleles of 139 QTL x 1024 accessions) was established as a compact form of the population genetic constitution. The 100-seed weight QTL-allele matrix was used for genetic characterization, candidate gene prediction, and genomic selection for optimal crosses in the germplasm population.</t>
  </si>
  <si>
    <t>[He, Jianbo; Meng, Shan; Lu, Jiangjie; Wang, Yufeng; Gai, Junyi] Nanjing Agr Univ, Soybean Res Inst, Nanjing 210095, Jiangsu, Peoples R China; [Zhao, Tuanjie; Xing, Guangnan; Gai, Junyi] Minist Agr, Natl Ctr Soybean Improvement, Nanjing 210095, Jiangsu, Peoples R China; [Yang, Shouping; Li, Yan; Gai, Junyi] Minist Agr, Key Lab Biol &amp; Genet Improvement Soybean Gen, Nanjing 210095, Jiangsu, Peoples R China; [Zhao, Tuanjie; Xing, Guangnan; Yang, Shouping; Li, Yan; Gai, Junyi] Nanjing Agr Univ, State Key Lab Crop Genet &amp; Germplasm Enhancement, Nanjing 210095, Jiangsu, Peoples R China; [Guan, Rongzhan; Gai, Junyi] Nanjing Agr Univ, Jiangsu Collaborat Innovat Ctr Modern Crop Prod, Nanjing 210095, Jiangsu, Peoples R China; [Xia, Qiuju; Yang, Bing] BGI Shenzhen, State Key Lab Agr Genom, Shenzhen 518083, Peoples R China</t>
  </si>
  <si>
    <t>Nanjing Agricultural University; Ministry of Agriculture &amp; Rural Affairs; Ministry of Agriculture &amp; Rural Affairs; Nanjing Agricultural University; Nanjing Agricultural University; Beijing Genomics Institute (BGI)</t>
  </si>
  <si>
    <t>Gai, JY (corresponding author), Nanjing Agr Univ, Soybean Res Inst, Nanjing 210095, Jiangsu, Peoples R China.;Gai, JY (corresponding author), Minist Agr, Natl Ctr Soybean Improvement, Nanjing 210095, Jiangsu, Peoples R China.;Gai, JY (corresponding author), Minist Agr, Key Lab Biol &amp; Genet Improvement Soybean Gen, Nanjing 210095, Jiangsu, Peoples R China.;Gai, JY (corresponding author), Nanjing Agr Univ, State Key Lab Crop Genet &amp; Germplasm Enhancement, Nanjing 210095, Jiangsu, Peoples R China.;Gai, JY (corresponding author), Nanjing Agr Univ, Jiangsu Collaborat Innovat Ctr Modern Crop Prod, Nanjing 210095, Jiangsu, Peoples R China.</t>
  </si>
  <si>
    <t>sri@njau.edu.cn</t>
  </si>
  <si>
    <t>Xing, guangnan/LZE-1469-2025; YANG, Bin/LSM-4113-2024; He, Jianbo/H-4917-2018</t>
  </si>
  <si>
    <t>He, Jianbo/0000-0002-9685-7564; Guan, Rongzhan/0000-0001-9177-6610</t>
  </si>
  <si>
    <t>China National Key R &amp; D Program for Crop Breeding [2016YFD0100304]; China National Key Basic Research Program [2011CB1093]; China National Hightech RD Program [2012AA101106]; Natural Science Foundation of China [31571695]; MOE 111 Project [B08025]; Program for Changjiang Scholars and Innovative Research Team in University [PCSIRT13073]; MOA Public Profit Program [201203026-4]; MOA CARS-04 program; Jiangsu Higher Education PAPD Program; Jiangsu JCIC-MCP Program</t>
  </si>
  <si>
    <t>China National Key R &amp; D Program for Crop Breeding; China National Key Basic Research Program(National Basic Research Program of China); China National Hightech RD Program; Natural Science Foundation of China(National Natural Science Foundation of China (NSFC)); MOE 111 Project(Ministry of Education, China - 111 Project); Program for Changjiang Scholars and Innovative Research Team in University(Program for Changjiang Scholars &amp; Innovative Research Team in University (PCSIRT)); MOA Public Profit Program; MOA CARS-04 program; Jiangsu Higher Education PAPD Program; Jiangsu JCIC-MCP Program</t>
  </si>
  <si>
    <t>This work was supported by the China National Key R &amp; D Program for Crop Breeding (2016YFD0100304), the China National Key Basic Research Program (2011CB1093), the China National Hightech R&amp;D Program (2012AA101106), the Natural Science Foundation of China (31571695), the MOE 111 Project (B08025), Program for Changjiang Scholars and Innovative Research Team in University (PCSIRT13073), the MOA Public Profit Program (201203026-4), the MOA CARS-04 program, the Jiangsu Higher Education PAPD Program, and the Jiangsu JCIC-MCP Program. The funders had no role in study design, data collection and analysis, decision to publish, or preparation of the manuscript.</t>
  </si>
  <si>
    <t>10.1007/s00122-017-2962-9</t>
  </si>
  <si>
    <t>FJ6YN</t>
  </si>
  <si>
    <t>WOS:000412904000007</t>
  </si>
  <si>
    <t>Arciniegas-Alarcón, S; García-Peña, M; Krzanowski, W</t>
  </si>
  <si>
    <t>Arciniegas-Alarcon, Sergio; Garcia-Pena, Marisol; Krzanowski, Wojtek</t>
  </si>
  <si>
    <t>Missing value imputation in multi-environment trials: Reconsidering the Krzanowski method</t>
  </si>
  <si>
    <t>CROP BREEDING AND APPLIED BIOTECHNOLOGY</t>
  </si>
  <si>
    <t>Singular value decomposition; weights; missing data; genotype-by-environment interaction; plant breeding</t>
  </si>
  <si>
    <t>CROSS-VALIDATION; MODELS</t>
  </si>
  <si>
    <t>We propose a new methodology for multiple imputation when faced with missing data in multi-environmental trials with genotype-by-environment interaction, based on the imputation system developed by Krzanowski that uses the singular value decomposition (SVD) of a matrix. Several different iterative variants are described; differential weights can also be included in each variant to represent the influence of different components of SVD in the imputation process. The methods are compared through a simulation study based on three real data matrices that have values deleted randomly at different percentages, using as measure of overall accuracy a combination of the variance between imputations and their mean square deviations relative to the deleted values. The best results are shown by two of the iterative schemes that use weights belonging to the interval [0.75, 1]. These schemes provide imputations that have higher quality when compared with other multiple imputation methods based on the Krzanowski method.</t>
  </si>
  <si>
    <t>[Arciniegas-Alarcon, Sergio; Garcia-Pena, Marisol] Univ Sao Paulo, ESALQ, Dept Ciencias Exatas, CP 09, BR-13418900 Piracicaba, SP, Brazil; [Krzanowski, Wojtek] Univ Exeter, Coll Engn Math &amp; Phys Sci, Harrison Bldg,North Pk Rd, Exeter EX4 4QF, Devon, England</t>
  </si>
  <si>
    <t>Universidade de Sao Paulo; University of Exeter</t>
  </si>
  <si>
    <t>Arciniegas-Alarcón, S (corresponding author), Univ Sao Paulo, ESALQ, Dept Ciencias Exatas, CP 09, BR-13418900 Piracicaba, SP, Brazil.</t>
  </si>
  <si>
    <t>sergio.arciniegas@gmail.com</t>
  </si>
  <si>
    <t>García-Peña, Marisol/AAF-2891-2019</t>
  </si>
  <si>
    <t>Garcia-Pena, Marisol/0000-0003-2446-761X; Arciniegas-Alarcon, Sergio/0000-0002-8320-2307</t>
  </si>
  <si>
    <t>Coordenacao de Aperfeicoamento de Pessoal de Nivel Superior, CAPES, Brazil (PEC-PG program); National Council of Technological and Scientific Development, CNPq, Brazil; Academy of Sciences for the Developing World, TWAS, Italy, (CNPq-TWAS program)</t>
  </si>
  <si>
    <t>Coordenacao de Aperfeicoamento de Pessoal de Nivel Superior, CAPES, Brazil (PEC-PG program); National Council of Technological and Scientific Development, CNPq, Brazil(Conselho Nacional de Desenvolvimento Cientifico e Tecnologico (CNPQ)); Academy of Sciences for the Developing World, TWAS, Italy, (CNPq-TWAS program)</t>
  </si>
  <si>
    <t>The first author thanks the Coordenacao de Aperfeicoamento de Pessoal de Nivel Superior, CAPES, Brazil, (PEC-PG program) for the financial support. The second author thanks the National Council of Technological and Scientific Development, CNPq, Brazil, and the Academy of Sciences for the Developing World, TWAS, Italy, (CNPq-TWAS program) for the financial support.</t>
  </si>
  <si>
    <t>BRAZILIAN SOC PLANT BREEDING</t>
  </si>
  <si>
    <t>VICOSA-MG</t>
  </si>
  <si>
    <t>UNIV FEDERAL VICOSA, VICOSA-MG, 36 571-000, BRAZIL</t>
  </si>
  <si>
    <t>1984-7033</t>
  </si>
  <si>
    <t>1518-7853</t>
  </si>
  <si>
    <t>CROP BREED APPL BIOT</t>
  </si>
  <si>
    <t>Crop. Breed. Appl. Biotechnol.</t>
  </si>
  <si>
    <t>10.1590/1984-70332016v16n2a13</t>
  </si>
  <si>
    <t>Agriculture; Biotechnology &amp; Applied Microbiology</t>
  </si>
  <si>
    <t>DV8DH</t>
  </si>
  <si>
    <t>gold, Green Published, Green Submitted</t>
  </si>
  <si>
    <t>WOS:000383167200001</t>
  </si>
  <si>
    <t>Hadi, AF; Sa'diyah, H</t>
  </si>
  <si>
    <t>Fleischmann, P; Kim, KM; Hwang, SG</t>
  </si>
  <si>
    <t>Hadi, Alfian Futuhul; Sa'diyah, Halimatus</t>
  </si>
  <si>
    <t>On The Development of Statistical Modeling in Plant Breeding: An Approach of Row-Column Interaction Models (RCIM) For Generalized AMMI Models with Deviance Analysis</t>
  </si>
  <si>
    <t>INTERNATIONAL CONFERENCE ON FOOD, AGRICULTURE AND NATURAL RESOURCES, IC-FANRES 2015</t>
  </si>
  <si>
    <t>Agriculture and Agricultural Science Procedia</t>
  </si>
  <si>
    <t>International Conference on Food, Agriculture and Natural Resources (IC-FANRes)</t>
  </si>
  <si>
    <t>Univ Jember, INDONESIA</t>
  </si>
  <si>
    <t>Univ Jember, Fac Agr,Univ Jember, Agr Technol Fac,Prefectural Univ Hiroshima, Fac Environm Sci,Kyungpook Natl Univ,Hankyong Natl Univ,Kasetsart Univ,Univ Putra Malaysia,Andalas Univ,Brawijaya Univ</t>
  </si>
  <si>
    <t>Univ Jember</t>
  </si>
  <si>
    <t>Reduce Rank Regression; RCIM; GAMMI; SVD; GEI; plant breeding; statistical modeling</t>
  </si>
  <si>
    <t>Generalized AMMI (GAMMI) model has been widely used to model the Genotype x Environment Interaction (GEI) with categorical (or in general, non-normal) response variables. It was developed by introduce the concept of Generalized Linear Model (GLM) into Additive Main Effect &amp; Multiplicative Interaction (AMMI) model. GAMMI model will provide two major results (i) the stability analysis of some genotypes across environments and (ii) determine some others that have site specific for particular environment through Biplot of Singular Value Decomposition (SVD) of the interaction terms. This research will focus on major studies on counting data that is to round up the previous work of first author's on the Row Column Interaction Models (RCIMs) for the GEI by VGAM package of an R implementation with an addition on the deviance analysis. A simple illustrative comparison of both approaches (RCIM vs. GAMMI) was conducted on Poisson counting data of 4 rows x 5 columns. The defiance analysis was provided by log-likelihood of the model and ones of the residual. Deviance analysis will provide a way to determine the complexity of interaction component in the model, named by rank of model. The Biplot of both approaches seem not quite different. Finally, we did show that RCIMs be relied upon to fit well the GAMMI model and then applied it in an illustrative example to a real dataset. In addition, a simple scheme of simulation, adding some outlier on Poisson count data, will show an easy way handling the over dispersion problems, but firstly, we will talk about some statistical framework of Reduce Rank Regression (RR-VGLMs), the RCIMs, and then the approach of RCIMs for GAMMI models. (C) 2016 The Authors. Published by Elsevier Ltd.</t>
  </si>
  <si>
    <t>[Hadi, Alfian Futuhul] Univ Jember, Dept Math, Stat Lab, Jl Kalimantan 37, Jember 68121, Indonesia; [Sa'diyah, Halimatus] Univ Jember, Dept Agron, Biometr Lab, Jl Kalimantan 37, Jember 68121, Indonesia</t>
  </si>
  <si>
    <t>Universitas Jember; Universitas Jember</t>
  </si>
  <si>
    <t>Hadi, AF (corresponding author), Univ Jember, Dept Math, Stat Lab, Jl Kalimantan 37, Jember 68121, Indonesia.</t>
  </si>
  <si>
    <t>afhadi@unej.ac.id</t>
  </si>
  <si>
    <t>SARA BURGERHARTSTRAAT 25, PO BOX 211, 1000 AE AMSTERDAM, NETHERLANDS</t>
  </si>
  <si>
    <t>2210-7843</t>
  </si>
  <si>
    <t>AGRIC AGRIC SCI PROC</t>
  </si>
  <si>
    <t>10.1016/j.aaspro.2016.02.108</t>
  </si>
  <si>
    <t>BG2NA</t>
  </si>
  <si>
    <t>WOS:000387487500017</t>
  </si>
  <si>
    <t>Bhering, LL; Cruz, CD; de Vasconcelos, ES; Ferreira, A; de Resende, MFR</t>
  </si>
  <si>
    <t>Bhering, Leonardo Lopes; Cruz, Cosme Damiao; de Vasconcelos, Edmar Soares; Ferreira, Adesio; de Resende, Marcio Fernando Ribeiro, Jr.</t>
  </si>
  <si>
    <t>Alternative methodology for Scott-Knott test</t>
  </si>
  <si>
    <t>multiple comparison procedures; plant breeding; simulation</t>
  </si>
  <si>
    <t>The test proposed by Scott Knott (1974), a procedure of means grouping, is an effective alternative to perform procedures of multiple comparisons without ambiguity. This study aimed to propose a modification related to the partitioning and means grouping in the said procedure, to obtain results without ambiguity among treatments, organized in more homogeneous groups. In the proposed methodology, treatments that did not participate in the initial group are joined for a new analysis, which allows for a better group distribution. In a comparative study, four experiments were simulated in a randomized complete block design. The first consisted of 10 and the other 3 of 100 treatments. All experiments were performed in three replications at a significance level of 0.05 for the means grouping test. Only in the third experiment of those of 100 treatments the groups formed by Scott-Knott did not differ from the methodology proposed here. The proposed methodology is considered effective, aiming at the identification of elite cultivar groups for recommendation.</t>
  </si>
  <si>
    <t>[Bhering, Leonardo Lopes; Cruz, Cosme Damiao; de Vasconcelos, Edmar Soares; Ferreira, Adesio; de Resende, Marcio Fernando Ribeiro, Jr.] Univ Fed Vicosa, Dept Biol Geral, BR-36570000 Vicosa, MG, Brazil</t>
  </si>
  <si>
    <t>Universidade Federal de Vicosa</t>
  </si>
  <si>
    <t>Bhering, LL (corresponding author), Univ Fed Vicosa, Dept Biol Geral, BR-36570000 Vicosa, MG, Brazil.</t>
  </si>
  <si>
    <t>leobhering@yahoo.com.br</t>
  </si>
  <si>
    <t>Bhering, Leonardo/AAK-9548-2020; Vasconcelos, Edmar/JLC-2318-2023</t>
  </si>
  <si>
    <t>Resende Jr., Marcio/0000-0002-2367-0766; Bhering, Leonardo/0000-0002-6072-0996</t>
  </si>
  <si>
    <t>10.12702/1984-7033.v08n01a02</t>
  </si>
  <si>
    <t>334BT</t>
  </si>
  <si>
    <t>WOS:000258198000002</t>
  </si>
  <si>
    <t>Lindquist, JL; Kropff, MJ</t>
  </si>
  <si>
    <t>Improving rice tolerance to barnyardgrass through early crop vigour: Simulations with INTERCOM</t>
  </si>
  <si>
    <t>crop tolerance; crop-weed competition; rice ecosystem; agricultural development; plant breeding; yield stability</t>
  </si>
  <si>
    <t>Crop yields on-farm rarely approach their production potential, partly as a result of growth reduction due to weed interference. The ability of rice to maintain yield in the presence of barnyardgrass (a measure of tolerance) may be improved if the time between emergence or transplanting and canopy closure is decreased. This may be accomplished through manipulation of crop population density and spatial arrangement, or improvement of early crop vigour. A simulation model of rice-bamyardgrass competition for light (INTERCOM) was used to evaluate the influence of increased early vigour in rice on its tolerance to bamyardgrass. Simulations suggest that increasing early leaf area expansion and height growth rates in rice will reduce yield loss. Correlation between early crop vigour and rice tolerance to barnyardgrass in the field is warranted. Rice cultivars with improved tolerance may improve yield stability in the presence of low bamyardgrass populations.</t>
  </si>
  <si>
    <t>Lindquist, JL (corresponding author), UNIV NEBRASKA,DEPT AGRON,LINCOLN,NE 68583, USA.</t>
  </si>
  <si>
    <t>WOS:A1997BH23W00004</t>
  </si>
  <si>
    <t>Wu, SS; Wu, RL; Ma, CX; Zeng, ZB; Yang, MC; Casella, G</t>
  </si>
  <si>
    <t>A multivalent pairing model of linkage analysis in autotetraploids</t>
  </si>
  <si>
    <t>TETRAPLOID ALFALFA; MAXIMUM-LIKELIHOOD; GENE SEGREGATION; POLYPLOIDS; SACCHARUM; MARKERS; MAP</t>
  </si>
  <si>
    <t>Polyploidy has been recognized as an important step in the evolutionary diversification of flowering plants and may have a significant impact on plant breeding. Statistical analyses for linkage mapping in polyploid species can be difficult due to considerable complexities in polysomic inheritance. In this article, we develop a novel Statistical method for linkage analysis of polymorphic markers in a full-sib family of autotetraploids. This method is established on multivalent pairings of homologous chromosomes at meiosis and can provide a simultaneous maximum-likelihood estimation of the double reduction frequencies of and recombination fraction between two markers. The EM algorithm is implemented to provide a tractable way for estimating relative proportions of different modes of gamete formation that generate identical gamete genotypes due to multivalent pairings. Extensive simulation studies were performed to demonstrate the statistical properties of this method. The implications of the new method for understanding the genome structure and organization of polyploid species are discussed.</t>
  </si>
  <si>
    <t>Univ Florida, Div Biostat, Gainesville, FL 32610 USA; Nankai Univ, Dept Stat, Tianjin 300071, Peoples R China; N Carolina State Univ, Dept Stat, Raleigh, NC 27695 USA</t>
  </si>
  <si>
    <t>State University System of Florida; University of Florida; Nankai University; North Carolina State University</t>
  </si>
  <si>
    <t>Wu, SS (corresponding author), Univ Florida, Div Biostat, POB 100212, Gainesville, FL 32610 USA.</t>
  </si>
  <si>
    <t>Moima, Motseilekgoa Emmanuel/0009-0003-1206-7915</t>
  </si>
  <si>
    <t>BALTIMORE</t>
  </si>
  <si>
    <t>428 EAST PRESTON ST, BALTIMORE, MD 21202 USA</t>
  </si>
  <si>
    <t>501CR</t>
  </si>
  <si>
    <t>WOS:000172665800035</t>
  </si>
  <si>
    <t>Bathke, AC; Harrar, SW; Wang, HY; Zhang, K; Piepho, HP</t>
  </si>
  <si>
    <t>Bathke, Arne C.; Harrar, Solomon W.; Wang, Haiyan; Zhang, Ke; Piepho, Hans-Peter</t>
  </si>
  <si>
    <t>Series of randomized complete block experiments with non-normal data</t>
  </si>
  <si>
    <t>COMPUTATIONAL STATISTICS &amp; DATA ANALYSIS</t>
  </si>
  <si>
    <t>Experimental design; Multi-environment trial; Multivariate analysis; Repeated measures; Split-plot design</t>
  </si>
  <si>
    <t>NONPARAMETRIC METHODS; MODEL; VARIANCE; GENOTYPE; TRIALS; NUMBER; ANOVA</t>
  </si>
  <si>
    <t>Randomized complete block designs are common in agricultural and other experiments In this manuscript, we derive asymptotic procedures as well as finite approximations, for the analysis of data arising from series of such experiments We do not assume normality of the data, and the within-block covariance structures can be arbitrary (no restriction to compound symmetry) The methods are specifically designed for trials with many environments and few blocks per environment, such as multi-environment trials in variety testing and plant breeding We consider fixed and random effects models for the environment factor The methodology takes advantage of multivariate notation, and the questions of interest are formulated as profile analysis problems Finite performance of the proposed procedures is examined in a simulation study, and application is demonstrated using data from a series of crop variety trials (C) 2010 Elsevier B V All rights reserved</t>
  </si>
  <si>
    <t>[Bathke, Arne C.] Univ Kentucky, Dept Stat, Lexington, KY 40506 USA; [Harrar, Solomon W.] Univ Montana, Dept Math Sci, Missoula, MT 59812 USA; [Wang, Haiyan] Kansas State Univ, Dept Stat, Manhattan, KS 66506 USA; [Zhang, Ke] Univ N Dakota, Sch Med &amp; Hlth Sci, Dept Pathol, Grand Forks, ND 58202 USA; [Piepho, Hans-Peter] Univ Hohenheim, Inst Pflanzenernahrung, D-70599 Stuttgart, Germany</t>
  </si>
  <si>
    <t>University of Kentucky; University of Montana System; University of Montana; Kansas State University; University of North Dakota Grand Forks; University Hohenheim</t>
  </si>
  <si>
    <t>Bathke, AC (corresponding author), Univ Kentucky, Dept Stat, Lexington, KY 40506 USA.</t>
  </si>
  <si>
    <t>Zhang, Ke/IWE-3563-2023</t>
  </si>
  <si>
    <t>0167-9473</t>
  </si>
  <si>
    <t>1872-7352</t>
  </si>
  <si>
    <t>COMPUT STAT DATA AN</t>
  </si>
  <si>
    <t>Comput. Stat. Data Anal.</t>
  </si>
  <si>
    <t>JUL 1</t>
  </si>
  <si>
    <t>10.1016/j.csda.2010.02.007</t>
  </si>
  <si>
    <t>Computer Science; Mathematics</t>
  </si>
  <si>
    <t>588YG</t>
  </si>
  <si>
    <t>WOS:000277110000012</t>
  </si>
  <si>
    <t>Smith, AB; Liw, P; Cullis, BR</t>
  </si>
  <si>
    <t>Smith, A. B.; Liw, P.; Cullis, B. R.</t>
  </si>
  <si>
    <t>The design and analysis of multi-phase plant breeding experiments</t>
  </si>
  <si>
    <t>JOURNAL OF AGRICULTURAL SCIENCE</t>
  </si>
  <si>
    <t>QUALITY; TRAITS; TRIALS</t>
  </si>
  <si>
    <t>Despite the importance of selection for quality characteristics in plant improvement programmes, literature on experimental design and statistical analysis for these traits is scarce. Most quality traits are obtained from multi-phase experiments in which plant varieties are first grown in a field trial then further processed in the laboratory. In the present paper a general mixed model approach for the analysis of multi-phase data is described, with particular emphasis on quality trait data that are often highly unbalanced and involve substantial sources of non-genetic variation and correlation. Also detailed is a new approach for experimental design that employs partial replication in all phases. The motivation for this was the high cost of obtaining quality trait data, thus the need to limit the total number of samples tested, but still allow use of the mixed model analysis. A simulation study is used to show that the combined use of the new designs and mixed model analysis has substantial benefits in terms of the genetic gain from selection.</t>
  </si>
  <si>
    <t>Wagga Wagga Agr Inst, Wagga Wagga, NSW 2650, Australia; Charles Sturt Univ, Wagga Wagga, NSW 2650, Australia</t>
  </si>
  <si>
    <t>Charles Sturt University</t>
  </si>
  <si>
    <t>Smith, AB (corresponding author), Wagga Wagga Agr Inst, Private Mail Bag, Wagga Wagga, NSW 2650, Australia.</t>
  </si>
  <si>
    <t>alison.smith@dpi.nsw.gov.au</t>
  </si>
  <si>
    <t>cullis, brian/E-7078-2010; Smith, Alison/G-4167-2010</t>
  </si>
  <si>
    <t>Smith, Alison/0000-0002-5979-3901; Cullis, Brian/0000-0001-6319-8155</t>
  </si>
  <si>
    <t>CAMBRIDGE UNIV PRESS</t>
  </si>
  <si>
    <t>32 AVENUE OF THE AMERICAS, NEW YORK, NY 10013-2473 USA</t>
  </si>
  <si>
    <t>0021-8596</t>
  </si>
  <si>
    <t>1469-5146</t>
  </si>
  <si>
    <t>J AGR SCI-CAMBRIDGE</t>
  </si>
  <si>
    <t>J. Agric. Sci.</t>
  </si>
  <si>
    <t>10.1017/S0021859606006319</t>
  </si>
  <si>
    <t>102KX</t>
  </si>
  <si>
    <t>WOS:000241811000002</t>
  </si>
  <si>
    <t>Duarte, JB; Vencovsky, R; Dias, CTD</t>
  </si>
  <si>
    <t>Estimators of variance components in the augmented block design with new treatments from one or more populations</t>
  </si>
  <si>
    <t>mixed model; plant breeding; recurrent selection; self-pollinated crop; genetic parameters</t>
  </si>
  <si>
    <t>MODEL</t>
  </si>
  <si>
    <t>This work compares by simulation estimates of variance components produced by the ANOVA (analysis of variance), ML (maximum likelihood), REML (restricted maximum likelihood), and MIVQUE(0) (minimum variance quadratic unbiased estimator) methods for augmented block design with additional treatments (progenies) stemming from one or more origins (crosses). Results showed the superiority of the MIVQUE(0) estimation. The ANOVA method, although unbiased, showed estimates with lower recision. The ML and REML methods produced downwards biased estimates for error variance (sigma (2)(e)), and upwards biased estimates for genotypic variances (sigma (2)(g)), particularly the ML method. Biases for the REML estimation became negligible when progenies were derived from a single cross, and experiments were of larger size with ratios sigma (2)(g)/sigma (2)(e) &gt;0.5. This method, however, provided the worst estimates for genotypic variances when progenies were derived from several crosses and the experiments were of small size (n&lt; 120 observations).</t>
  </si>
  <si>
    <t>Univ Fed Goiania, Escola Agron, BR-74001970 Goiania, Go, Brazil</t>
  </si>
  <si>
    <t>Univ Fed Goiania, Escola Agron, Caixa Postal 131, BR-74001970 Goiania, Go, Brazil.</t>
  </si>
  <si>
    <t>Duarte, Joao/D-6518-2014; Tadeu dos Santos Dias, Carlos/G-5817-2015</t>
  </si>
  <si>
    <t>Duarte, Joao/0000-0002-1029-9419; Tadeu dos Santos Dias, Carlos/0000-0003-1015-1761</t>
  </si>
  <si>
    <t>10.1590/S0100-204X2001000900009</t>
  </si>
  <si>
    <t>480EM</t>
  </si>
  <si>
    <t>WOS:000171449100009</t>
  </si>
  <si>
    <t>Tan, ZY; Xia, YY; Zhao, MW; Liu, XD</t>
  </si>
  <si>
    <t>Monte Carlo simulation of interactions between energetic electron and cellulose film</t>
  </si>
  <si>
    <t>APPLIED SURFACE SCIENCE</t>
  </si>
  <si>
    <t>thin film; cellulose; Monte Carlo method; energy loss; plant breeding</t>
  </si>
  <si>
    <t>STOPPING POWER; CROSS-SECTIONS; BACKSCATTERING</t>
  </si>
  <si>
    <t>Monte Carlo method of simulating the interactions between energetic electron and organic compound is presented. This method is based on the Mott cross-section and Rutherford cross-section for the elastic scattering of electrons in different energy regions and the cross-section derived by dielectric response theory with exchange effect included for the inelastic scattering of electrons. The comparisons have been done to show the reliability of the described method. Using this method, the systematic calculations of the mean energy loss of transmitted electrons through the cellulose films with different thickness for different primary energies have been performed. The dependence of the mean energy loss of transmitted electrons on cellulose film thickness is analyzed. A method to evaluate the mean energy loss of the transmitted electrons for the cellulose film with a fixed thickness at a given primary energy is proposed. (c) 2004 Elsevier B.V. All rights reserved.</t>
  </si>
  <si>
    <t>Shandong Univ, Sch Elect Engn, Jinan 250061, Peoples R China; Shandong Univ, Dept Phys, Jinan 250100, Peoples R China</t>
  </si>
  <si>
    <t>Shandong University; Shandong University</t>
  </si>
  <si>
    <t>Shandong Univ, Sch Elect Engn, So Campus, Jinan 250061, Peoples R China.</t>
  </si>
  <si>
    <t>tzy@sdu.edu.cn</t>
  </si>
  <si>
    <t>Zhao, Mingwen/A-8282-2014</t>
  </si>
  <si>
    <t>Zhao, Mingwen/0000-0002-7583-9682</t>
  </si>
  <si>
    <t>0169-4332</t>
  </si>
  <si>
    <t>1873-5584</t>
  </si>
  <si>
    <t>APPL SURF SCI</t>
  </si>
  <si>
    <t>Appl. Surf. Sci.</t>
  </si>
  <si>
    <t>JUN 15</t>
  </si>
  <si>
    <t>1-3</t>
  </si>
  <si>
    <t>10.1016/j.apsusc.2004.10.053</t>
  </si>
  <si>
    <t>Chemistry; Materials Science; Physics</t>
  </si>
  <si>
    <t>929KK</t>
  </si>
  <si>
    <t>WOS:000229344800018</t>
  </si>
  <si>
    <t>Lisle, C; Smith, A; Birrell, CL; Cullis, B</t>
  </si>
  <si>
    <t>Lisle, Chris; Smith, Alison; Birrell, Carole L.; Cullis, Brian</t>
  </si>
  <si>
    <t>Information Based Diagnostic for Genetic Variance Parameter Estimation in Multi-Environment Trials</t>
  </si>
  <si>
    <t>multi-environment trials; linear mixed models; D-optimality; variety connectivity; simulation study</t>
  </si>
  <si>
    <t>MIXED MODELS; VARIETY</t>
  </si>
  <si>
    <t>Plant breeding programs evaluate varieties in series of field trials across years and locations, referred to as multi-environment trials (METs). These are an essential part of variety evaluation with the key aim of the statistical analysis of these datasets to accurately estimate the variety by environment (VE) effects. It has previously been thought that the number of varieties in common between environments, referred to as variety connectivity,  was a key driver of the reliability of genetic variance parameter estimation and that this in turn affected the reliability of predictions of VE effects. In this paper we have provided the link between the objectives of this work and those in model-based experimental design. We propose the use of the D-optimality criterion as a diagnostic to capture the information available for the residual maximum likelihood (REML) estimation of the genetic variance parameters. We demonstrate the methods for a dataset with pedigree information as well as evaluating the performance of the diagnostic using two simulation studies. This measure is shown to provide a superior diagnostic to the traditional connectivity type measure in the sense of better forecasting the uncertainty of genetic variance parameter estimates.</t>
  </si>
  <si>
    <t>[Lisle, Chris; Smith, Alison; Cullis, Brian] Univ Wollongong, Natl Inst Appl Stat Res Australia, Sch Math &amp; Appl Stat, Ctr Biometr &amp; Data Sci Sustainable Primary Ind, Wollongong, NSW, Australia; [Birrell, Carole L.] Univ Wollongong, Natl Inst Appl Stat Res Australia, Sch Math &amp; Appl Stat, Wollongong, NSW, Australia</t>
  </si>
  <si>
    <t>University of Wollongong; University of Wollongong</t>
  </si>
  <si>
    <t>Lisle, C (corresponding author), Univ Wollongong, Natl Inst Appl Stat Res Australia, Sch Math &amp; Appl Stat, Ctr Biometr &amp; Data Sci Sustainable Primary Ind, Wollongong, NSW, Australia.</t>
  </si>
  <si>
    <t>clisle@uow.edu.au</t>
  </si>
  <si>
    <t>Lisle, Chris/0000-0002-7291-6187; Smith, Alison/0000-0002-5979-3901; Birrell, Carole/0000-0003-3095-8191; Cullis, Brian/0000-0001-6319-8155</t>
  </si>
  <si>
    <t>Grains Research and Development Corporation (GRDC); Statistics for the Australian Grains Industry (SAGI) project [UW00009]</t>
  </si>
  <si>
    <t>Grains Research and Development Corporation (GRDC)(Grains R&amp;D Corp); Statistics for the Australian Grains Industry (SAGI) project</t>
  </si>
  <si>
    <t>Funding CL and AS were supported by the Grains Research and Development Corporation (GRDC) through the Statistics for the Australian Grains Industry (SAGI) project (UW00009).</t>
  </si>
  <si>
    <t>DEC 7</t>
  </si>
  <si>
    <t>10.3389/fpls.2021.785430</t>
  </si>
  <si>
    <t>YG7OW</t>
  </si>
  <si>
    <t>WOS:000742673900001</t>
  </si>
  <si>
    <t>Pérez-Enciso, M; Legarra, A</t>
  </si>
  <si>
    <t>Perez-Enciso, M.; Legarra, A.</t>
  </si>
  <si>
    <t>A combined coalescence gene-dropping tool for evaluating genomic selection in complex scenarios (ms2gs)</t>
  </si>
  <si>
    <t>JOURNAL OF ANIMAL BREEDING AND GENETICS</t>
  </si>
  <si>
    <t>Animal breeding; genomic selection; quantitative genetics; simulation</t>
  </si>
  <si>
    <t>FLEXIBLE SIMULATION; SEQUENCE; PREDICTION; ASSOCIATION; ACCURACY; DESIGNS; TRAITS</t>
  </si>
  <si>
    <t>We present ms2gs, a combined coalescence - gene dropping (i.e. backward-forward) simulator for complex traits. It therefore aims at combining the advantages of both approaches. It is primarily conceived for very short term, recent scenarios such as those that are of interest in animal and plant breeding. It is very flexible in terms of defining QTL architecture and SNP ascertainment bias, and it allows for easy modelling of alternative markers such as RADs. It can use real sequence or chip data or generate molecular polymorphisms via the coalescence. It can generate QTL conditional on extant molecular information, such as low-density genotyping. It models (simplistically) sequence, imputation or genotyping errors. It requires as input both genotypic data in plink or ms formats, and a pedigree that is used to perform the gene dropping. By default, it compares accuracy for BLUP, SNP ascertained data, sequence, and causal SNPs. It employs VanRaden's linear (GBLUP) and nonlinear method for incorporating molecular information. To illustrate the program, we present a small application in a half-sib population and a multiparental (MAGIC) cross. The program, manual and examples are available at .</t>
  </si>
  <si>
    <t>[Perez-Enciso, M.] CSIC IRTA UAB UB Consortium, CRAG, Bellaterra, Spain; [Perez-Enciso, M.] Carrer Lluis Co, ICREA, Barcelona, Spain; [Legarra, A.] INRA, UMR GENPHYSE 1388, Genet Physiol &amp; Syst Elevage, F-31326 Castanet Tolosan, France</t>
  </si>
  <si>
    <t>Consejo Superior de Investigaciones Cientificas (CSIC); Centre de Recerca en Agrigenomica (CRAG); IRTA; ICREA; INRAE</t>
  </si>
  <si>
    <t>Pérez-Enciso, M (corresponding author), CRAG, Campus UAB, Bellaterra 08193, Spain.</t>
  </si>
  <si>
    <t>miguel.perez@uab.es</t>
  </si>
  <si>
    <t>Perez-Enciso, Miguel/H-6057-2015; Legarra, Andres/G-9451-2012</t>
  </si>
  <si>
    <t>Legarra, Andres/0000-0001-8893-7620</t>
  </si>
  <si>
    <t>project GenSeq of the INRA metaprogram SelGen (France); [AGL2013-41834-R]; ICREA Funding Source: Custom</t>
  </si>
  <si>
    <t>project GenSeq of the INRA metaprogram SelGen (France); ; ICREA(ICREA)</t>
  </si>
  <si>
    <t>We thank John Hickey for comments on his ALPHASIM programs. Work funded by project AGL2013-41834-R to MPE. AL acknowledges financing from the project GenSeq of the INRA metaprogram SelGen (France).</t>
  </si>
  <si>
    <t>0931-2668</t>
  </si>
  <si>
    <t>1439-0388</t>
  </si>
  <si>
    <t>J ANIM BREED GENET</t>
  </si>
  <si>
    <t>J. Anim. Breed. Genet.</t>
  </si>
  <si>
    <t>10.1111/jbg.12200</t>
  </si>
  <si>
    <t>DH6GV</t>
  </si>
  <si>
    <t>WOS:000372889900003</t>
  </si>
  <si>
    <t>Mendes, FM; Vasconcelos, MH; Dias, MOS; Ferraz, A; Milagres, AMF; Santos, JC; Jesus, CDF; Watanabe, MDB; Junqueira, TL; Bonomi, A</t>
  </si>
  <si>
    <t>Mendes, F. M.; Vasconcelos, M. H.; Dias, M. O. S.; Ferraz, A.; Milagres, A. M. F.; Santos, J. C.; Jesus, C. D. F.; Watanabe, M. D. B.; Junqueira, T. L.; Bonomi, A.</t>
  </si>
  <si>
    <t>Alkaline sulfite pretreatment for integrated first and second generation ethanol production: A techno-economic assessment of sugarcane hybrids</t>
  </si>
  <si>
    <t>BIOMASS &amp; BIOENERGY</t>
  </si>
  <si>
    <t>Sugarcane hybrid; Alkaline sulfite pretreatment; Biorefinery; Simulation; Techno-economic analysis</t>
  </si>
  <si>
    <t>BIOETHANOL PRODUCTION; LIGNIN CONTENTS; ELECTRICITY; BIOREFINERY; COST</t>
  </si>
  <si>
    <t>Sugarcane hybrids have been developed through genetic engineering and plant breeding to produce lignocellulosic crops that are more susceptible for second generation biofuels production. Adequate evaluation of these plants requires process development combined with proper economic assessment. In this study, alkaline sulfite pretreatment of sugarcane biomass derived from four selected sugarcane hybrids was assessed for second generation ethanol production integrated with a first generation biorefinery. Process simulation and economic analysis were used to evaluate 32 biorefinery scenarios including different pretreatment conditions (high and low severity), enzymatic hydrolysis time (24 and 72 h) and pentoses destination (fermentation to ethanol or discard). Results indicated that high field productivity and low recalcitrance after pretreatment were critical characteristics for a selected sugarcane hybrid. High sodium sulfite loads were useful to increase ethanol production in the 1G2G biorefinery. However, sodium sulfite cost was relevant in the 1G2G ethanol cost. Sensitivity analysis applied to the best biorefinery scenarios indicated that maximum sodium sulfite prices to reach minimum acceptable rate of return (12%) were US$ 0.66/kg and US$ 0.47/kg for severe and mild pretreatments, respectively.</t>
  </si>
  <si>
    <t>[Mendes, F. M.; Jesus, C. D. F.; Watanabe, M. D. B.; Junqueira, T. L.; Bonomi, A.] CNPEM, Lab Nacl Ciencia &amp; Tecnol Bioetanol CTBE, BR-13083970 Campinas, SP, Brazil; [Vasconcelos, M. H.; Ferraz, A.; Milagres, A. M. F.; Santos, J. C.] Univ Sao Paulo EEL USP, Dept Biotecnol, Lorena, SP, Brazil; [Vasconcelos, M. H.] Inst Fed Educ Ciencia &amp; Tecnol IFRO, Campus Guajara Mirim, Rondonia, Brazil; [Dias, M. O. S.] Univ Fed Sao Paulo ICT UNIFESP, Inst Ciencia &amp; Tecnol, Sao Jose Dos Campos, SP, Brazil</t>
  </si>
  <si>
    <t>Universidade de Sao Paulo; Universidade Federal de Sao Paulo (UNIFESP)</t>
  </si>
  <si>
    <t>Mendes, FM (corresponding author), CNPEM, Lab Nacl Ciencia &amp; Tecnol Bioetanol CTBE, BR-13083970 Campinas, SP, Brazil.</t>
  </si>
  <si>
    <t>fermachado03@gmail.com</t>
  </si>
  <si>
    <t>Watanabe, Marcos/E-7434-2012; Milagres, Adriane/N-9778-2013; Dias, Marina/H-8972-2012; Carvalho, Fernanda/F-5606-2015; Ferraz, Andre/A-6484-2009; Santos, Julio/H-4777-2013; Lopes Junqueira, Tassia/C-6664-2016</t>
  </si>
  <si>
    <t>Ferraz, Andre/0000-0002-9968-7054; Santos, Julio/0000-0001-6192-6155; Vasconcelos, Marcelo Holanda/0000-0002-2162-1397; Watanabe, Marcos D.B./0000-0001-9818-7405; Lopes Junqueira, Tassia/0000-0001-9108-7751; Oliveira de Souza Dias, Marina/0000-0001-9922-2727</t>
  </si>
  <si>
    <t>Fundacao de Amparo a Pesquisa do Estado de Sao Paulo (FAPESP) [2014/06923-6]; FAPESP [2015/10756-0]; Coordenacao de Aperfeicoamento de Pessoal de Nivel Superior -Brasil (CAPES) [001]; Fundacao de Amparo a Pesquisa do Estado de Sao Paulo (FAPESP) [15/10756-0] Funding Source: FAPESP</t>
  </si>
  <si>
    <t>Fundacao de Amparo a Pesquisa do Estado de Sao Paulo (FAPESP)(Fundacao de Amparo a Pesquisa do Estado de Sao Paulo (FAPESP)); FAPESP(Fundacao de Amparo a Pesquisa do Estado de Sao Paulo (FAPESP)); Coordenacao de Aperfeicoamento de Pessoal de Nivel Superior -Brasil (CAPES)(Coordenacao de Aperfeicoamento de Pessoal de Nivel Superior (CAPES)); Fundacao de Amparo a Pesquisa do Estado de Sao Paulo (FAPESP)(Fundacao de Amparo a Pesquisa do Estado de Sao Paulo (FAPESP))</t>
  </si>
  <si>
    <t>This work was supported by Fundacao de Amparo a Pesquisa do Estado de Sao Paulo (FAPESP, contract number 2014/06923-6). F.M. Mendes thanks FAPESP for her post-doctoral fellowship (2015/10756-0). This study was also financed in part by the Coordenacao de Aperfeicoamento de Pessoal de Nivel Superior -Brasil (CAPES) - Finance Code 001.</t>
  </si>
  <si>
    <t>PERGAMON-ELSEVIER SCIENCE LTD</t>
  </si>
  <si>
    <t>THE BOULEVARD, LANGFORD LANE, KIDLINGTON, OXFORD OX5 1GB, ENGLAND</t>
  </si>
  <si>
    <t>0961-9534</t>
  </si>
  <si>
    <t>1873-2909</t>
  </si>
  <si>
    <t>BIOMASS BIOENERG</t>
  </si>
  <si>
    <t>Biomass Bioenerg.</t>
  </si>
  <si>
    <t>10.1016/j.biombioe.2018.10.005</t>
  </si>
  <si>
    <t>Agriculture; Biotechnology &amp; Applied Microbiology; Energy &amp; Fuels</t>
  </si>
  <si>
    <t>GZ3CX</t>
  </si>
  <si>
    <t>WOS:000449265800035</t>
  </si>
  <si>
    <t>Ye, GY; Ogbonnaya, F; van Ginkel, M</t>
  </si>
  <si>
    <t>Ye, Guoyou; Ogbonnaya, Francis; van Ginkel, Maarten</t>
  </si>
  <si>
    <t>Marker-Assisted Recurrent Backcrossing in Cultivar Development</t>
  </si>
  <si>
    <t>Background selection; Foreground selection; Linkage drag; Marker-assisted selection; Recurrent backcrossing</t>
  </si>
  <si>
    <t>BACTERIAL-BLIGHT RESISTANCE; QUANTITATIVE TRAIT LOCUS; NEAR-ISOGENIC LINES; LYCOPERSICON PENNELLII; GENE INTROGRESSION; LINKAGE DRAG; QTL ALLELES; YIELD QTL; SELECTION; RICE</t>
  </si>
  <si>
    <t>Marker-assisted recurrent backcrossing (MARB), the combined use of marker-assisted selection (MAS) and recurrent backcrossing, is a versatile method for plant breeding and genetic studies. The benefits of MARB are well demonstrated and documented in theoretical and simulation studies, and confirmed by empirical applications. In MARB, markers are used during recurrent backcrossing to select for the presence of the target gene (foreground selection), to select against the donor genome contribution (background selection) to reduce the introgressed segment's size and thus potential linkage drag. MARB reduces the number of backcrossing needed to recover most of the recurrent parent genome in 3-4 generations, while one or two target genes are introgressed from the donor. For foreground selection markers are most useful for traits that are expensive and/or difficult to measure. Linkage drag associated with the target gene(s), when present, is difficult if not impossible to remove by phenotypic selection. In this chapter, we summarised some of the theoretical and simulation results of MARB, and provided comprehensive summary of the use of MARB in practical crop breeding.</t>
  </si>
  <si>
    <t>[Ye, Guoyou] Dept Primary Ind Victoria, Biosci Div, Bundoora Ctr, Bundoora, Vic 3086, Australia; [Ye, Guoyou] Mol Plant Breeding Cooperat Res Ctr, Bundoora, Vic 3086, Australia; [Ogbonnaya, Francis; van Ginkel, Maarten] Int Ctr Agr Res Dry Areas, Aleppo, Syria</t>
  </si>
  <si>
    <t>guoyou.ye@dpi.vic.gov.au</t>
  </si>
  <si>
    <t>Ogbonnaya, Francis/C-5237-2014</t>
  </si>
  <si>
    <t>WOS:000293772800011</t>
  </si>
  <si>
    <t>Gonçalves, E; Aubyn, AS; Martins, A</t>
  </si>
  <si>
    <t>Goncalves, E.; Aubyn, A. St; Martins, A.</t>
  </si>
  <si>
    <t>Experimental designs for evaluation of genetic variability and selection of ancient grapevine varieties: a simulation study</t>
  </si>
  <si>
    <t>grapevine; genetic variability; genetic selection; experimental design; simulation</t>
  </si>
  <si>
    <t>INCOMPLETE BLOCK-DESIGNS; ROW-COLUMN DESIGNS; SPATIAL-ANALYSIS; BREEDING TRIALS; YIELD TRIALS; CONSTRUCTION; EFFICIENCY; INFORMATION; RECOVERY; MODELS</t>
  </si>
  <si>
    <t>Classical methodologies for grapevine selection used in the vine-growing world are generally based on comparisons among a small number of clones. This does not take advantage of the entire genetic variability within ancient varieties, and therefore limits selection challenges. Using the general principles of plant breeding and of quantitative genetics, we propose new breeding strategies, focussed on conservation and quantification of genetic variability by performing a cycle of mass genotypic selection prior to clonal selection. To exploit a sufficiently large amount of genetic variability, initial selection trials must be generally very large. The use of experimental designs adequate for those field trials has been intensively recommended for numerous species. However, their use in initial trials of grapevines has not been studied. With the aim of identifying the most suitable experimental designs for quantification of genetic variability and selection of ancient varieties, a study was carried out to assess through simulation the comparative efficiency of various experimental designs (randomized complete block design, a design and row-column (RC) design). The results indicated a greater efficiency for a and RC designs, enabling more precise estimates of genotypic variance, greater precision in the prediction of genetic gain and consequently greater efficiency in genotypic mass selection. Heredity (2010) 104, 552-562; doi: 10.1038/hdy.2009.153; published online 11 November 2009</t>
  </si>
  <si>
    <t>[Goncalves, E.; Martins, A.] Univ Tecn Lisboa, Inst Super Agron, CBAA, P-1349017 Lisbon, Portugal; [Aubyn, A. St] Univ Lusiada Lisboa, CITIS, Lisbon, Portugal</t>
  </si>
  <si>
    <t>Universidade de Lisboa</t>
  </si>
  <si>
    <t>Gonçalves, E (corresponding author), Univ Tecn Lisboa, Inst Super Agron, CBAA, P-1349017 Lisbon, Portugal.</t>
  </si>
  <si>
    <t>elsagoncalves@isa.utl.pt</t>
  </si>
  <si>
    <t>Gonçalves, Elsa/AAL-5082-2021; Martin, Antonio/K-6547-2017</t>
  </si>
  <si>
    <t>Felix Goncalves, Elsa Maria/0000-0003-0216-436X; Martins, Antero/0000-0001-9344-6260</t>
  </si>
  <si>
    <t>Fundacao para a Ciencia e Tecnologia, Portugal</t>
  </si>
  <si>
    <t>Fundacao para a Ciencia e Tecnologia, Portugal(Fundacao para a Ciencia e a Tecnologia (FCT))</t>
  </si>
  <si>
    <t>We thank the 'Fundacao para a Ciencia e Tecnologia, Portugal' for financial support for first author. We also thank the reviewers and the editors for their valuable comments and suggestions.</t>
  </si>
  <si>
    <t>10.1038/hdy.2009.153</t>
  </si>
  <si>
    <t>598IH</t>
  </si>
  <si>
    <t>WOS:000277828500005</t>
  </si>
  <si>
    <t>Ali, M; Zhang, LY; DeLacy, I; Arief, V; Dieters, M; Pfeiffer, WH; Wang, JK; Li, HH</t>
  </si>
  <si>
    <t>Ali, Mohsin; Zhang, Luyan; DeLacy, Ian; Arief, Vivi; Dieters, Mark; Pfeiffer, Wolfgang H.; Wang, Jiankang; Li, Huihui</t>
  </si>
  <si>
    <t>Modeling and simulation of recurrent phenotypic and genomic selections in plant breeding under the presence of epistasis</t>
  </si>
  <si>
    <t>CROP JOURNAL</t>
  </si>
  <si>
    <t>ADDITIVE GENETIC VARIANCE; GENOMEWIDE SELECTION; COMPUTER-SIMULATION; ASSISTED SELECTION; MOLECULAR MARKERS; WHEAT; TRAITS; INFORMATION; POPULATIONS; PROGRAM</t>
  </si>
  <si>
    <t>Recurrent selection is an important breeding method for population improvement and selecting elite inbreds or fixed lines from the improved germplasm. Recently, a computer simulation tool called QuMARS has been developed, which allows the simulation and optimization of various recurrent selection strategies. Our major objective in this study was to use the QuMARS tool to compare phenotypic recurrent, marker-assisted recurrent, and genomic selections (abbreviated respectively as PS, MARS and GS) for both short-and long-termbreeding procedures. ForMARS, twomarker selection models were considered, i. e., stepwise (Rstep) and forward regressions (Forward). For GS, three prediction models were considered, i. e., genomic best linear unbiased predictors (GBLUP), ridge regression (Ridge), and regression by Moore-Penrose general inverse (InverseMP). To generate genotypes and phenotypes for a given individual during simulation, one additive and two epistasis genetic models were considered with three levels of heritability. Results demonstrated that selection responses from GBLUP-based GS and MARS (Forward) were consistently greater than those from PS under the additive model, particularly in early selection cycles. In contrast, selection response from PS was consistently superior over MARS and GS under epistatic models. For the two epistasis models, total genetic variance and the additive variance component were increased in some cases after selection. Through simulation, we concluded that GS and PS were effective recurrent selection methods for improved breeding of targeted traits controlled by additive and epistatic quantitative trait loci (QTL). QuMARS provides an opportunity for breeders to compare, optimize and integrate new technology into their conventional breeding programs. (C) 2020 Crop Science Society of China and Institute of Crop Science, CAAS. Publishing services by Elsevier B.V. on behalf of KeAi Communications Co. Ltd.</t>
  </si>
  <si>
    <t>[Ali, Mohsin; Zhang, Luyan; Wang, Jiankang; Li, Huihui] Chinese Acad Agr Sci, Inst Crop Sci, Natl Key Facil Crop Gene Resources &amp; Genet Improv, Beijing 100081, Peoples R China; [DeLacy, Ian; Arief, Vivi; Dieters, Mark] Univ Queensland, Sch Agr &amp; Food Sci, Brisbane, Qld 4072, Australia; [Pfeiffer, Wolfgang H.] Int Food Policy Res Inst IFPRI, HarvestPlus Challenge Programme, 1201 Eye St NW, Washington, DC 20005 USA</t>
  </si>
  <si>
    <t>Chinese Academy of Agricultural Sciences; Institute of Crop Sciences, CAAS; University of Queensland; CGIAR; International Food Policy Research Institute (IFPRI)</t>
  </si>
  <si>
    <t>Li, HH (corresponding author), Chinese Acad Agr Sci, Inst Crop Sci, Natl Key Facil Crop Gene Resources &amp; Genet Improv, Beijing 100081, Peoples R China.</t>
  </si>
  <si>
    <t>lihuihui@caas.cn</t>
  </si>
  <si>
    <t>Ali, Mohsin/GRY-0476-2022; Arief, Vivi/A-6450-2018</t>
  </si>
  <si>
    <t>Ali, Mohsin/0000-0002-7245-498X</t>
  </si>
  <si>
    <t>National Key Research and Development Program of China [2015BAD02B01-2-2]; HarvestPlus Challenge Program</t>
  </si>
  <si>
    <t>National Key Research and Development Program of China(National Key Research &amp; Development Program of China); HarvestPlus Challenge Program</t>
  </si>
  <si>
    <t>This work was financially supported by the National Key Research and Development Program of China (2015BAD02B01-2-2), and the HarvestPlus Challenge Program (www.harvestplus.org).</t>
  </si>
  <si>
    <t>KEAI PUBLISHING LTD</t>
  </si>
  <si>
    <t>16 DONGHUANGCHENGGEN NORTH ST, BEIJING, DONGHENG DISTRICT 100717, PEOPLES R CHINA</t>
  </si>
  <si>
    <t>2095-5421</t>
  </si>
  <si>
    <t>2214-5141</t>
  </si>
  <si>
    <t>CROP J</t>
  </si>
  <si>
    <t>Crop J.</t>
  </si>
  <si>
    <t>10.1016/j.cj.2020.04.002</t>
  </si>
  <si>
    <t>NY4TA</t>
  </si>
  <si>
    <t>WOS:000576382800018</t>
  </si>
  <si>
    <t>Soufizadeh, S; Munaro, E; McLean, G; Massignam, A; van Oosterom, EJ; Chapman, SC; Messina, C; Cooper, M; Hammer, GL</t>
  </si>
  <si>
    <t>Soufizadeh, S.; Munaro, E.; McLean, G.; Massignam, A.; van Oosterom, E. J.; Chapman, S. C.; Messina, C.; Cooper, M.; Hammer, G. L.</t>
  </si>
  <si>
    <t>Modelling the nitrogen dynamics of maize crops - Enhancing the APSIM maize model</t>
  </si>
  <si>
    <t>International Crop Modelling Symposium on Crop Modelling for Agriculture and Food Security under Global Change (iCropM)</t>
  </si>
  <si>
    <t>Berlin, GERMANY</t>
  </si>
  <si>
    <t>Maize; Nitrogen; Modelling; Simulation; Ecophysiology</t>
  </si>
  <si>
    <t>ARID TROPICAL ENVIRONMENT; RADIATION USE EFFICIENCY; ZEA-MAYS L.; LOW SOIL-NITROGEN; LEAF NITROGEN; GRAIN-YIELD; COMPARATIVE PRODUCTIVITY; SIMULATION-MODEL; KERNEL WEIGHT; CANOPY PHOTOSYNTHESIS</t>
  </si>
  <si>
    <t>Crop growth simulation models require robust ecophysiological functionality to support credible simulation of diverse genotype x management x environment (G x M x E) combinations. Most efforts on modeling the nitrogen (N) dynamics of crops use a minimum, critical, and maximum N concentration per unit biomass based empirically on experimental observations. Here we present a physiologically more robust approach, originally implemented in sorghum, which uses the N content per unit leaf area as a key driver of N demand. The objective was to implement the conceptual framework of the APSIM sorghum nitrogen dynamics model in APSIM maize and to validate the robustness of the model across a range of G x M x E combinations. The N modelling framework is described and its parameterisation for maize is developed based on three previously reported detailed field experiments, conducted at Gatton (27 degrees 34'S, 152 degrees 20'), Queensland, Australia, supplemented by literature data. There was considerable correspondence with parameterisation results found for sorghum, suggesting potential for generality of this framework for modelling crop N dynamics in cereals. Comprehensive model testing indicated accurate predictions at organ and crop scale across a diverse range of experiments and demonstrated that observed responses to a range of management factors were reproduced credibly. This supports the use of the model to extrapolate and predict performance and adaptation under new G x M x E combinations. Capturing this advance with reduced complexity compared to the N concentration approach provides a firm basis to progress the role of modelling in exploring the genetic underpinning of complex traits and in plant breeding and crop improvement generally.</t>
  </si>
  <si>
    <t>[Soufizadeh, S.] Shahid Beheshti Univ, GC, Environm Sci Res Inst, Dept Agroecol, POB 19835-196, Tehran, Iran; [Munaro, E.; Messina, C.; Cooper, M.] DuPont Pioneer, 8305 NW 62nd Ave, Johnston, IA 50131 USA; [McLean, G.] Agri Sci Queensland, Dept Agr &amp; Fisheries, 203 Tor St, Toowoomba, Qld 4350, Australia; [Massignam, A.] Epagri, BR-89620000 Campos Novos, SC, Brazil; [van Oosterom, E. J.; Chapman, S. C.; Hammer, G. L.] Univ Queensland, Queensland Alliance Agr &amp; Food Innovat, Brisbane, Qld 4072, Australia; [Chapman, S. C.] CSIRO Agr &amp; Food, Queensland Biosci Precinct, 306 Carmody Rd, St Lucia, Qld 4067, Australia</t>
  </si>
  <si>
    <t>Shahid Beheshti University; DuPont; Pioneer Hi-Bred International, Inc.; Queensland Department of Agriculture &amp; Fisheries; University of Queensland; Commonwealth Scientific &amp; Industrial Research Organisation (CSIRO)</t>
  </si>
  <si>
    <t>Hammer, GL (corresponding author), Univ Queensland, Queensland Alliance Agr &amp; Food Innovat, Brisbane, Qld 4072, Australia.</t>
  </si>
  <si>
    <t>Cooper, Mark/AAG-8551-2019; McLean, Greg/AAE-9842-2021; McLean, Gregory/Q-9103-2017; Chapman, Scott/B-9673-2008; Hammer, Graeme/A-3785-2008</t>
  </si>
  <si>
    <t>McLean, Gregory/0000-0002-8491-2984; Van Oosterom, Erik/0000-0003-4886-4038; Cooper, Mark/0000-0002-9418-3359; Chapman, Scott/0000-0003-4732-8452; Messina, Carlos/0000-0002-5501-9281; Soufizadeh, Saeid/0000-0001-8403-3472; Hammer, Graeme/0000-0002-1180-7374</t>
  </si>
  <si>
    <t>Australian Research Council; DuPont Pioneer; Grains Research and Development Corporation; EU FP7 project DROPS</t>
  </si>
  <si>
    <t>Australian Research Council(Australian Research Council); DuPont Pioneer; Grains Research and Development Corporation(Grains R&amp;D Corp); EU FP7 project DROPS(European Union (EU))</t>
  </si>
  <si>
    <t>We gratefully acknowledge financial support for this research from the Australian Research Council, DuPont Pioneer, and the Grains Research and Development Corporation, as well as collaboration with EU FP7 project DROPS.</t>
  </si>
  <si>
    <t>10.1016/j.eja.2017.12.007</t>
  </si>
  <si>
    <t>HE6CM</t>
  </si>
  <si>
    <t>WOS:000453490900012</t>
  </si>
  <si>
    <t>QU-GENE: a simulation platform for quantitative analysis of genetic models</t>
  </si>
  <si>
    <t>BIOINFORMATICS</t>
  </si>
  <si>
    <t>TEST ENVIRONMENTS; SELECTION; PROGRAM; POPULATIONS</t>
  </si>
  <si>
    <t>Motivation: Classical quantitative genetics theory makes a number of simplifying assumptions in order to develop mathematical expressions that describe the mean and variation (genetic and phenotypic) within and among populations, and to pl edict how these are expected to change under the influence of external for ces. These assumptions ale often necessary to I render the development of many aspects of the theory mathematically tractable. The availability of high-speed computers today provides opportunity for the use of computer simulation methodology to investigate the implications of relaxing many of the assumptions that ale commonly made. Results: QU-GENE (QUantitative-GENEtics) was developed as a flexible computer simulation platform for the quantitative analysis of genetic models. Three features of the QU-GENE software that contribute to its flexibility ale (i) the col-e E(N:K) genetic model, where E is the number of types of environment, N is the number of genes, K indicates the level of epistasis and the parentheses indicate that different ent N:K genetic models can be nested within types of environments, (ii) the rise of a two-stage architecture that separates the definition of the genetic model and genotype-environment system fi om the detail of the individual simulation experiments and (iii) the use of a series of interactive graphical windows that monitor the progress of the simulation experiments. The E(N:K) framework enables the generation of families of genetic models that incorporate the effects of genotype-by-environment (G x E) interactions and epistasis. By the design of appropriate application modules, many different ent simulation experiments can be conducted for any genotype-environment system. The structure e of the QU-GENE simulation software is explained and demonstrated by way of two examples. The first concentrates on some aspects of the influence of G x E interactions on response to selection in plant breeding, and the second considers the influence of multiple-peak epistasis on the evolution of a four-gene epistatic network . Availability: BU-GENE is available over the Internet at {http://pig.ag.uq.edu.au/qu-gene/} Contact: m.cooper @mailbox.uq.edu.au.</t>
  </si>
  <si>
    <t>Podlich, DW (corresponding author), Univ Queensland, Sch Land &amp; Food, Brisbane, Qld 4072, Australia.</t>
  </si>
  <si>
    <t>Cooper, Mark/0000-0002-9418-3359</t>
  </si>
  <si>
    <t>1367-4803</t>
  </si>
  <si>
    <t>Bioinformatics</t>
  </si>
  <si>
    <t>10.1093/bioinformatics/14.7.632</t>
  </si>
  <si>
    <t>Biochemistry &amp; Molecular Biology; Biotechnology &amp; Applied Microbiology; Computer Science; Mathematical &amp; Computational Biology; Mathematics</t>
  </si>
  <si>
    <t>125FG</t>
  </si>
  <si>
    <t>WOS:000076226300011</t>
  </si>
  <si>
    <t>Buntaran, H; Bernal-Vasquez, AM; Gordillo, A; Sahr, M; Wimmer, V; Piepho, HP</t>
  </si>
  <si>
    <t>Buntaran, Harimurti; Bernal-Vasquez, Angela Maria; Gordillo, Andres; Sahr, Morten; Wimmer, Valentin; Piepho, Hans-Peter</t>
  </si>
  <si>
    <t>Assessing the response to genomic selection by simulation</t>
  </si>
  <si>
    <t>SAMPLING ERRORS; EFFICIENCY; HERITABILITY; INFORMATION; PREDICTION; INDEXES</t>
  </si>
  <si>
    <t>Key message We propose a simulation approach to compute response to genomic selection on a multi-environment framework to provide breeders the number of entries that need to be selected from the population to have a defined probability of selecting the truly best entry from the population and the probability of obtaining the truly best entries when some top-ranked entries are selected. The goal of any plant breeding program is to maximize genetic gain for traits of interest. In classical quantitative genetics, the genetic gain can be obtained from what is known as Breeder's equation. In the past, only phenotypic data were used to compute the genetic gain. The advent of genomic prediction (GP) has opened the door to the utilization of dense markers for estimating genomic breeding values or GBV. The salient feature of GP is the possibility to carry out genomic selection with the assistance of the kinship matrix, hence improving the prediction accuracy and accelerating the breeding cycle. However, estimates of GBV as such do not provide the full information on the number of entries to be selected as in the classical response to selection. In this paper, we use simulation, based on a fitted mixed model for GP in a multi-environmental framework, to answer two typical questions of a plant breeder: (1) How many entries need to be selected to have a defined probability of selecting the truly best entry from the population; (2) what is the probability of obtaining the truly best entries when some top-ranked entries are selected.</t>
  </si>
  <si>
    <t>[Buntaran, Harimurti; Piepho, Hans-Peter] Univ Hohenheim, Inst Crop Sci, Biostat Unit, Fruwirthstr 23, D-70599 Stuttgart, Germany; [Bernal-Vasquez, Angela Maria; Wimmer, Valentin] KWS SAAT SE Co KGaA, Grimsehistasse 31, D-37574 Einbeck, Germany; [Gordillo, Andres; Sahr, Morten] KWS LOCHOW GmbH, Ferdinand von Lochow Str 5, D-29303 Bergen, Norway</t>
  </si>
  <si>
    <t>Piepho, HP (corresponding author), Univ Hohenheim, Inst Crop Sci, Biostat Unit, Fruwirthstr 23, D-70599 Stuttgart, Germany.</t>
  </si>
  <si>
    <t>hans-peter.piepho@uni-hohenheim.de</t>
  </si>
  <si>
    <t>Buntaran, Harimurti/AAE-1172-2019</t>
  </si>
  <si>
    <t>Buntaran, Harimurti/0000-0001-8917-3781; Piepho, Hans-Peter/0000-0001-7813-2992</t>
  </si>
  <si>
    <t>Projekt DEAL</t>
  </si>
  <si>
    <t>Open Access funding enabled and organized by Projekt DEAL.</t>
  </si>
  <si>
    <t>10.1007/s00122-022-04157-1</t>
  </si>
  <si>
    <t>JUL 2022</t>
  </si>
  <si>
    <t>3I2UP</t>
  </si>
  <si>
    <t>WOS:000824280000001</t>
  </si>
  <si>
    <t>Gianola, D; de los Campos, G; Hill, WG; Manfredi, E; Fernando, R</t>
  </si>
  <si>
    <t>Gianola, Daniel; de los Campos, Gustavo; Hill, William G.; Manfredi, Eduardo; Fernando, Rohan</t>
  </si>
  <si>
    <t>Additive Genetic Variability and the Bayesian Alphabet</t>
  </si>
  <si>
    <t>GENOMIC-ASSISTED PREDICTION; HILBERT-SPACES REGRESSION; MIXED LINEAR-MODELS; QUANTITATIVE TRAITS; SELECTION; DISTRIBUTIONS; INFORMATION; MORTALITY; MARKERS</t>
  </si>
  <si>
    <t>The use of all available molecular markers in statistical models for prediction of quantitative traits has led to what: could be termed a genomic-assisted selection paradigm in animal and plant breeding. This article provides a critical review of some theoretical and statistical concepts in the context of genomic-assisted genetic evaluation of animals and crops. First, relationships between the (Bayesian) variance of marker effects in some regression models and additive genetic variance are examined under standard assumptions. Second, the connection between marker genotypes and resemblance between relatives is explored, and linkages between a marker-based model and the infinitesimal model are reviewed. Third, issues associated with the use of Bayesian models for marker-assisted selection, with a focus on the role of the priors, are examined from a theoretical angle. The sensitivity of a Bayesian specification that has been proposed (called Bayer A) with respect to priors is illustrated with a simulation. Methods that can solve potential shortcomings of some of these Bayesian regression procedures are discussed briefly.</t>
  </si>
  <si>
    <t>[Gianola, Daniel; de los Campos, Gustavo] Univ Wisconsin, Dept Anim Sci, Madison, WI 53706 USA; [Gianola, Daniel] Norwegian Univ Life Sci, Dept Anim &amp; Aquacultural Sci, N-1432 As, Norway; [Gianola, Daniel; Manfredi, Eduardo] INRA, UR631, Stn Ameliorat Genet Anim, F-32326 Castanet Tolosan, France; [Hill, William G.] Univ Edinburgh, Inst Evolutionary Biol, Sch Biol Sci, Edinburgh EH9 3JT, Midlothian, Scotland; [Fernando, Rohan] Iowa State Univ, Dept Anim Sci, Ames, IA 50011 USA</t>
  </si>
  <si>
    <t>University of Wisconsin System; University of Wisconsin Madison; Norwegian University of Life Sciences; INRAE; University of Edinburgh; Iowa State University</t>
  </si>
  <si>
    <t>Gianola, D (corresponding author), Univ Wisconsin, Dept Anim Sci, 1675 Observ Dr, Madison, WI 53706 USA.</t>
  </si>
  <si>
    <t>gianola@ansci.wisc.edu</t>
  </si>
  <si>
    <t>Hill, William/B-3198-2012</t>
  </si>
  <si>
    <t>Wisconsin Agriculture Experiment Station; National Science Foundation (NSF); Division of Mathematical Sciences NSF [DMS-044371]</t>
  </si>
  <si>
    <t>Wisconsin Agriculture Experiment Station; National Science Foundation (NSF)(National Science Foundation (NSF)); Division of Mathematical Sciences NSF</t>
  </si>
  <si>
    <t>Hugo Naya, Institut Pasteur of Uruguay is thanked for having engineered the two linkage disequilibrium scenarios used in the simulation. The Associate Editor is thanked for his careful reading of the manuscript and for help in clarifying some sections of the article. Part of this work was carried out while D. Gianola was a Visiting Professor at Georg-August-Universitat, Gottingen, Germany (Alexander von Humboldt Foundation Senior Researcher Award), and a Visiting Scientist at the Station d'Amelioration Genetique des Animaux, Centre de Recherche de Toulouse, France (Chaire D'Excellence Pierre de Fermat, Agence Innovation, Midi-Pyrenees). Support by the Wisconsin Agriculture Experiment Station and by National Science Foundation (NSF) grant Division of Mathematical Sciences NSF DMS-044371 to D.G. and G. de los C. is acknowledged.</t>
  </si>
  <si>
    <t>10.1534/genetics.109.103952</t>
  </si>
  <si>
    <t>523IT</t>
  </si>
  <si>
    <t>Green Published, Bronze</t>
  </si>
  <si>
    <t>WOS:000272067000031</t>
  </si>
  <si>
    <t>Moreau, L; Monod, H; Charcosset, A; Gallais, A</t>
  </si>
  <si>
    <t>Marker-assisted selection with spatial analysis of unreplicated field trials</t>
  </si>
  <si>
    <t>marker-assisted selection; spatial analysis</t>
  </si>
  <si>
    <t>UTILIZING LINKAGE DISEQUILIBRIUM; GENERATION VARIETY TRIALS; HYBRID POPULATIONS; MOLECULAR MARKERS; SIMULATION; MAIZE; IDENTIFICATION; MODEL; LINES</t>
  </si>
  <si>
    <t>Many studies have shown that molecular markers can improve the efficiency of the selection of quantitative traits in plant breeding provided that large population sizes are used. As a way to limit experimental costs it appears that the use of unreplicated trials may be more valuable than the use of replicated plots in one trial. In this particular context of unreplicated large trials, spatial heterogeneity within the field may reduce the efficiency of the selection. The problem of controlling spatial heterogeneity was seldom considered in the case of marker-assisted selection (MAS). Here, we propose an integrated method to predict genetic values considering simultaneously marker information and possible spatial heterogeneity. This method was applied to a population of 300 F-3 lines of maize evaluated in ii unreplicated trials for grain yield. We show that when spatial field heterogeneity is considered through appropriate statistical models the accuracy of genetic value predictions is improved and the same genetic gain can be achieved with a reduced number of trials.</t>
  </si>
  <si>
    <t>INRA, UPS, INA, PG,Stn Genet Vegetale, F-91190 Gif Sur Yvette, France; INRA, Lab Biometrie, F-78026 Versailles, France</t>
  </si>
  <si>
    <t>INRAE; Universite de Toulouse; Universite Toulouse III - Paul Sabatier; INRAE; Universite Paris Saclay</t>
  </si>
  <si>
    <t>Moreau, L (corresponding author), INRA, UPS, INA, PG,Stn Genet Vegetale, Fermi Moulon, F-91190 Gif Sur Yvette, France.</t>
  </si>
  <si>
    <t>Moreau, Luc/C-9061-2011; Monod, Hervé/J-1896-2012</t>
  </si>
  <si>
    <t>Charcosset, Alain/0000-0001-6125-503X</t>
  </si>
  <si>
    <t>175 FIFTH AVE, NEW YORK, NY 10010 USA</t>
  </si>
  <si>
    <t>10.1007/s001220051063</t>
  </si>
  <si>
    <t>171HW</t>
  </si>
  <si>
    <t>WOS:000078858400008</t>
  </si>
  <si>
    <t>Titmarsh, IJ; Doughton, J; Woods, E</t>
  </si>
  <si>
    <t>Titmarsh, I. J.; Doughton, J.; Woods, E.</t>
  </si>
  <si>
    <t>Agronomy looking forward, thinking broadly</t>
  </si>
  <si>
    <t>WATER-USE EFFICIENCY; WHEAT YIELD; FARMING SYSTEMS; TEXTURED SOILS; CLIMATE; CROPS; MODEL; ENVIRONMENT; SIMULATION; AUSTRALIA</t>
  </si>
  <si>
    <t>Global trends in human population and agriculture dictate that future calls made on the resources (physical, human, financial) and systems involved in producing food will be increasingly more demanding and complex. Both plant breeding and improved agronomy lift the potential yield of crops, a key component in progressing farm yield, so society can reasonably expect both agronomy as a science and agronomists as practitioners to contribute to the successful delivery of necessary change. By reflecting on current trends in agricultural production (diversification, intensification, integration, industrialisation, automation) and deconstructing a futuristic scenario of attempting agricultural production on Mars, it seems the skills agronomists will require involve not only the mandatory elements of their discipline but also additional skills that enable engagement with, even leadership of, teams who integrate (in sum or part) engineering, (agri-)business, economics and operational management, and build the social capital required to create and maintain a diverse array of enhanced and new ethical production systems and achieve increasing efficiencies within them.</t>
  </si>
  <si>
    <t>[Titmarsh, I. J.; Doughton, J.] Dept Employment Econ Dev &amp; Innovat, Toowoomba, Qld 4350, Australia; [Woods, E.] Dept Employment Econ Dev &amp; Innovat, Brisbane, Qld 4001, Australia</t>
  </si>
  <si>
    <t>Titmarsh, IJ (corresponding author), Dept Employment Econ Dev &amp; Innovat, POB 102, Toowoomba, Qld 4350, Australia.</t>
  </si>
  <si>
    <t>ian.titmarsh@bluemaxx.com.au</t>
  </si>
  <si>
    <t>ACIAR; Centre for Natural Resource Management; Mallee Sustainable Farming Inc.; GRDC [CSA00011]; CSIRO</t>
  </si>
  <si>
    <t>ACIAR; Centre for Natural Resource Management; Mallee Sustainable Farming Inc.; GRDC; CSIRO(Commonwealth Scientific &amp; Industrial Research Organisation (CSIRO))</t>
  </si>
  <si>
    <t>Hayman's input was partly funded by an ACIAR project on seasonal climate forecasting and a Centre for Natural Resource Management project on climate risk. The efforts of Whitbread and Gobbett were supported by the Mallee Sustainable Farming Inc. project and Training Growers to Manage Soil Water Project (GRDC Research Code CSA00011) supported by the GRDC and CSIRO Sustainable Ecosystems. Chris Dyson offered guidance on statistics, Bronya Alexander, Michael Robertson and two thoughtful referees' reports improved earlier versions.</t>
  </si>
  <si>
    <t>10.1071/CP09203</t>
  </si>
  <si>
    <t>620IU</t>
  </si>
  <si>
    <t>Green Accepted</t>
  </si>
  <si>
    <t>WOS:000279493700002</t>
  </si>
  <si>
    <t>Panchangam, SS</t>
  </si>
  <si>
    <t>Panchangam, Sameera Sastry</t>
  </si>
  <si>
    <t>BabyBoom: 3-Dimensional Structure-Based Ligand and Protein Interaction Prediction by Molecular Docking</t>
  </si>
  <si>
    <t>BIOMOLECULES</t>
  </si>
  <si>
    <t>Baby Boom (BBM); protein-protein interaction; docking; peptide mimetics; ligand-protein interactions</t>
  </si>
  <si>
    <t>MORPHOGENIC REGULATORS; PLANT; BOOM; TRANSFORMATION; REGENERATION; INDUCTION</t>
  </si>
  <si>
    <t>Baby Boom (BBM) is a key transcription factor that triggers embryogenesis, enhances transformation and regeneration efficiencies, and regulates developmental pathways in plants. Triggering or activating BBM in non-model crops could overcome the bottlenecks in plant breeding. Understanding BBM's structure is critical for functional characterization and determination of interacting partners and/or ligands. The current in silico study aimed to study BBM's sequence and conservation across all plant proteomes, predict protein-protein and protein-ligand interactions, and perform molecular docking and molecular dynamics (MD) simulation to specifically determine the binding site amino acid residues. In addition, peptide sequences that interact with BBM have also been predicted, which provide avenues for altered functional interactions and the design of peptide mimetics that can be experimentally validated for their role in tissue culture or transformation media. This novel data could pave the way for the exploitation of BBM's potential as the master regulator of specialized plant processes such as apomixes, haploid embryogenesis, and CRISPR/Cas9 transgenic development.</t>
  </si>
  <si>
    <t>[Panchangam, Sameera Sastry] Bioclues Org, Hyderabad 500072, India</t>
  </si>
  <si>
    <t>Panchangam, SS (corresponding author), Bioclues Org, Hyderabad 500072, India.</t>
  </si>
  <si>
    <t>sameera@bioclues.org</t>
  </si>
  <si>
    <t>panchangam, Sameera/AAV-9776-2020</t>
  </si>
  <si>
    <t>panchangam, Sameera/0000-0003-2244-9987</t>
  </si>
  <si>
    <t>2218-273X</t>
  </si>
  <si>
    <t>Biomolecules</t>
  </si>
  <si>
    <t>10.3390/biom12111633</t>
  </si>
  <si>
    <t>Biochemistry &amp; Molecular Biology</t>
  </si>
  <si>
    <t>6V2OI</t>
  </si>
  <si>
    <t>WOS:000894893600001</t>
  </si>
  <si>
    <t>Sekine, D; Yabe, S</t>
  </si>
  <si>
    <t>Sekine, Daisuke; Yabe, Shiori</t>
  </si>
  <si>
    <t>Simulation-based optimization of genomic selection scheme for accelerating genetic gain while preventing inbreeding depression in onion breeding</t>
  </si>
  <si>
    <t>BREEDING SCIENCE</t>
  </si>
  <si>
    <t>genomic selection; simulation; out-crossing plant; inbreeding depression; onion breeding</t>
  </si>
  <si>
    <t>GENOMEWIDE SELECTION; MARKER; PACKAGE; SYSTEM</t>
  </si>
  <si>
    <t>Genomic selection (GS) is being increasingly employed in plant breeding programs to accelerate genetic gain of economically important traits. However, its efficiency differs greatly across species, due to differences in reproduction and breeding strategies. Onion (Allium cepa L.) is an out-crossing crop but can be easily self-pollinated. High inbreeding depression occurs, and contamination of self-pollinated seeds is unavoidable in onion breeding. Taking this into consideration, 10-year breeding programs with and without GS were simulated. In addition to general GS, we proposed GS schemes to prevent inbreeding depression by avoiding coselection of close relatives and combining the shortening of generation time and updating of the prediction model. The results showed that general GS with shortening of generation time yielded the highest genetic gain among the selection schemes in early years. However, inbreeding increased rapidly, reaching very high levels in later years. The proposed GS combining shortening of generation time with updating of the prediction model was superior to the others in later years, as it yielded relatively high genetic gain while maintaining significantly low levels of inbreeding. These results suggested that GS can be beneficial in onion breeding, and an optimal scheme should be selected depending on the selection period.</t>
  </si>
  <si>
    <t>[Sekine, Daisuke] Natl Agr &amp; Food Res Org, Inst Vegetable &amp; Floriculture Sci, Tsu, Mie 5142392, Japan; [Yabe, Shiori] Natl Agr &amp; Food Res Org, Inst Crop Sci, Tsukuba, Ibaraki 3058518, Japan</t>
  </si>
  <si>
    <t>National Agriculture &amp; Food Research Organization - Japan; National Agriculture &amp; Food Research Organization - Japan</t>
  </si>
  <si>
    <t>Yabe, S (corresponding author), Natl Agr &amp; Food Res Org, Inst Crop Sci, Tsukuba, Ibaraki 3058518, Japan.</t>
  </si>
  <si>
    <t>syabe@affrc.go.jp</t>
  </si>
  <si>
    <t>Cross-ministerial Strategic Innovative Promotion Program 2 (SIP2) Technologies for Smart Bio-industry and Agriculture (Development of data driven breeding system) [DDB1002, DDB2005]</t>
  </si>
  <si>
    <t>Cross-ministerial Strategic Innovative Promotion Program 2 (SIP2) Technologies for Smart Bio-industry and Agriculture (Development of data driven breeding system)</t>
  </si>
  <si>
    <t>This work was partly supported by a grant from the Cross-ministerial Strategic Innovative Promotion Program 2 (SIP2) Technologies for Smart Bio-industry and Agriculture (Development of data driven breeding system, DDB1002, DDB2005).</t>
  </si>
  <si>
    <t>JAPANESE SOC BREEDING</t>
  </si>
  <si>
    <t>TOKYO</t>
  </si>
  <si>
    <t>UNIV TOKYO, GRADUATE SCHOOL AGRICULTURAL LIFE SCIENCES, BUNKYO-KU, TOKYO, 113-8657, JAPAN</t>
  </si>
  <si>
    <t>1344-7610</t>
  </si>
  <si>
    <t>1347-3735</t>
  </si>
  <si>
    <t>BREEDING SCI</t>
  </si>
  <si>
    <t>Breed. Sci.</t>
  </si>
  <si>
    <t>10.1270/jsbbs.20047</t>
  </si>
  <si>
    <t>PN1QF</t>
  </si>
  <si>
    <t>WOS:000604260700011</t>
  </si>
  <si>
    <t>Preservation of Genetic Variation in a Breeding Population for Long-Term Genetic Gain</t>
  </si>
  <si>
    <t>Genomic Prediction; Genetic Gain; Plant Breeding; QTL Fixation; Simulation Study; GenPred; Shared data resoureces</t>
  </si>
  <si>
    <t>GENOMIC SELECTION; GENOMEWIDE SELECTION; QUANTITATIVE TRAITS; RELIABILITY; PREDICTION; VALUES</t>
  </si>
  <si>
    <t>Genomic selection has been successfully implemented in plant and animal breeding. The transition of parental selection based on phenotypic characteristics to genomic selection (GS) has reduced breeding time and cost while accelerating the rate of genetic progression. Although breeding methods have been adapted to include genomic selection, parental selection often involvestruncationselection, selecting the individuals with the highest genomic estimated breeding values (GEBVs) in the hope that favorable properties will be passed to their offspring. This ensures genetic progression and delivers offspring with high genetic values. However, several favorable quantitative trait loci (QTL) alleles risk being eliminated from the breeding population during breeding. We show that this could reduce the mean genetic value that the breeding population could reach in the long term with up to 40%. In this paper, by means of a simulation study, we propose a new method for parental mating that is able to preserve the genetic variation in the breeding population, preventing premature convergence of the genetic values to a local optimum, thus maximizing the genetic values in the long term. We do not only prevent the fixation of several unfavorable QTL alleles, but also demonstrate that the genetic values can be increased by up to 15 percentage points compared with truncation selection.</t>
  </si>
  <si>
    <t>[Vanavermaete, David; De Baets, Bernard] Univ Ghent, KERMIT, Dept Data Anal &amp; Math Modelling, B-9000 Ghent, Belgium; [Vanavermaete, David; Fostier, Jan] Univ Ghent, IMEC, Dept Informat Technol, IDLab, Technol Pk,Zwijnaarde 126, B-9052 Ghent, Belgium; [Maenhout, Steven] Progeno, B-9052 Ghent, Belgium</t>
  </si>
  <si>
    <t>Ghent University; Ghent University; Interuniversity Microelectronics Centre</t>
  </si>
  <si>
    <t>Vanavermaete, D (corresponding author), Univ Ghent, IMEC, Dept Informat Technol, IDLab, Technol Pk,Zwijnaarde 126, B-9052 Ghent, Belgium.;Vanavermaete, D (corresponding author), Univ Ghent, Dept Data Anal &amp; Math Modelling, Coupure Links 653, B-9000 Ghent, Belgium.</t>
  </si>
  <si>
    <t>David.Vanavermaete@ugent.be</t>
  </si>
  <si>
    <t>Fostier, Jan/A-8275-2012; De Baets, Bernard/E-8877-2010; Vanavermaete, David/AGC-9563-2022</t>
  </si>
  <si>
    <t>10.1534/g3.120.401354</t>
  </si>
  <si>
    <t>NB3XB</t>
  </si>
  <si>
    <t>WOS:000560448200017</t>
  </si>
  <si>
    <t>Krishnappa, G; Savadi, S; Tyagi, BS; Singh, SK; Mamrutha, HM; Kumar, S; Mishra, CN; Khan, H; Gangadhara, K; Uday, G; Singh, G; Singh, GP</t>
  </si>
  <si>
    <t>Krishnappa, Gopalareddy; Savadi, Siddanna; Tyagi, Bhudeva Singh; Singh, Sanjay Kumar; Mamrutha, Harohalli Masthigowda; Kumar, Satish; Mishra, Chandra Nath; Khan, Hanif; Gangadhara, Krishnappa; Uday, Govindareddy; Singh, Gyanendra; Singh, Gyanendra Pratap</t>
  </si>
  <si>
    <t>Integrated genomic selection for rapid improvement of crops</t>
  </si>
  <si>
    <t>GENOMICS</t>
  </si>
  <si>
    <t>Genomic selection; Speed breeding; GEBVs; Genetic gain; Marker; Prediction accuracy</t>
  </si>
  <si>
    <t>MARKER-ASSISTED SELECTION; X ENVIRONMENT INTERACTION; FUSARIUM HEAD BLIGHT; TRAINING POPULATION DESIGN; MAIZE HYBRID PERFORMANCE; PRELIMINARY YIELD TRIALS; SEPTORIA-TRITICI BLOTCH; PREDICTION ACCURACY; GRAIN-YIELD; QUANTITATIVE TRAITS</t>
  </si>
  <si>
    <t>An increase in the rate of crop improvement is essential for achieving sustained food production and other needs of ever-increasing population. Genomic selection (GS) is a potential breeding tool that has been successfully employed in animal breeding and is being incorporated into plant breeding. GS promises accelerated breeding cycles through a rapid selection of superior genotypes. Numerous empirical and simulation studies on GS and realized impacts on improvement in the crop yields are recently being reported. For a holistic understanding of the technology, we briefly discuss the concept of genetic gain, GS methodology, its current status, advantages of GS over other breeding methods, prediction models, and the factors controlling prediction accuracy in GS. Also, integration of speed breeding and other novel technologies viz. high throughput genotyping and phenotyping technologies for enhancing the efficiency and pace of GS, followed by its prospective applications in varietal development programs is reviewed.</t>
  </si>
  <si>
    <t>[Krishnappa, Gopalareddy; Tyagi, Bhudeva Singh; Singh, Sanjay Kumar; Mamrutha, Harohalli Masthigowda; Kumar, Satish; Mishra, Chandra Nath; Khan, Hanif; Singh, Gyanendra; Singh, Gyanendra Pratap] Indian Inst Wheat &amp; Barley Res, Karnal, India; [Savadi, Siddanna] Directorate Cashew Res, Puttur, Karnataka, India; [Gangadhara, Krishnappa] Directorate Groundnut Res, Junagadh, Gujarat, India; [Uday, Govindareddy] Univ Agr Sci, Dharwad, Karnataka, India</t>
  </si>
  <si>
    <t>Indian Council of Agricultural Research (ICAR); ICAR - Indian Institute of Wheat &amp; Barley Research; Indian Council of Agricultural Research (ICAR); ICAR - Directorate of Cashew Research; Indian Council of Agricultural Research (ICAR); ICAR - Directorate of Groundnut Research</t>
  </si>
  <si>
    <t>Krishnappa, G (corresponding author), Indian Inst Wheat &amp; Barley Res, Karnal, India.;Savadi, S (corresponding author), Directorate Cashew Res, Puttur, Karnataka, India.</t>
  </si>
  <si>
    <t>gopalareddy.k@icar.gov.in; siddannasavadi@gmail.com</t>
  </si>
  <si>
    <t>K, Gangadhara/ABS-7914-2022; SINGH, GYANENDRA/AAZ-4119-2021; Singh, Sanjay/AAI-9853-2020; Savadi, Siddanna/AAS-5061-2020; Khan, Hanif/U-2641-2017</t>
  </si>
  <si>
    <t>Savadi, Siddanna/0000-0002-3937-6334; Mishra, Chandra Nath/0000-0003-2369-0510; Khan, Hanif/0000-0003-4615-207X</t>
  </si>
  <si>
    <t>ICAR-IIWBR, Karnal, Haryana, India [CRSCIIWBRSIL201500300184.5]; ICAR, New Delhi, India [CRSCIIWBRSIL201500300184.5]</t>
  </si>
  <si>
    <t>ICAR-IIWBR, Karnal, Haryana, India; ICAR, New Delhi, India(Indian Council of Agricultural Research (ICAR))</t>
  </si>
  <si>
    <t>The authors acknowledge Director, ICAR-IIWBR, Karnal, Haryana, India and ICAR, New Delhi, India for financial assistance. This work is a part of an institute project Improvement of wheat for grain quality (Project Ref No.: CRSCIIWBRSIL201500300184.5).</t>
  </si>
  <si>
    <t>ACADEMIC PRESS INC ELSEVIER SCIENCE</t>
  </si>
  <si>
    <t>525 B ST, STE 1900, SAN DIEGO, CA 92101-4495 USA</t>
  </si>
  <si>
    <t>0888-7543</t>
  </si>
  <si>
    <t>1089-8646</t>
  </si>
  <si>
    <t>Genomics</t>
  </si>
  <si>
    <t>10.1016/j.ygeno.2021.02.007</t>
  </si>
  <si>
    <t>MAR 2021</t>
  </si>
  <si>
    <t>SR7TW</t>
  </si>
  <si>
    <t>WOS:000661250200007</t>
  </si>
  <si>
    <t>MACKAY, IJ; GIBSON, JP</t>
  </si>
  <si>
    <t>THE EFFECT OF GAMETIC-PHASE DISEQUILIBRIUM ON THE PREDICTION OF RESPONSE TO RECURRENT SELECTION IN PLANTS</t>
  </si>
  <si>
    <t>RECURRENT SELECTION; GAMETIC PHASE DISEQUILIBRIUM; SUGAR BEET</t>
  </si>
  <si>
    <t>HALF-SIB; POPULATIONS; SIMULATION; FAMILIES; RATES</t>
  </si>
  <si>
    <t>Selection reduces additive genetic variation by generating gametic-phase disequilibrium, a phenomenon largely ignored when predicting response in plant breeding programs. The development of gametic-phase disequilibrium is here taken into account when predicting the response to selection for various schemes of recurrent selection applicable to plant populations. A general program permits prediction of response to selection from schemes of recurrent selection in which two or more rounds of selection occur in each cycle. An example from Sugar Beet, with alternate rounds of half-sib and S1 family selection, is illustrated. It is shown that failure to take into account the effects of gametic-phase disequilibrium can result in substantial overestimation of the response to selection as well as to changes in rank of the merits of alternative breeding schemes. For a given scheme, ignoring gametic-phase disequilibrium has only small effects on defining the optimum allocation of plots and the numbers of families tested.</t>
  </si>
  <si>
    <t>UNIV GUELPH,CTR GENET IMPROVEMENT LIVESTOCK ANIM &amp; POULTRY SCI,GUELPH N1G 2W1,ONTARIO,CANADA</t>
  </si>
  <si>
    <t>University of Guelph</t>
  </si>
  <si>
    <t>MACKAY, IJ (corresponding author), LION SEEDS LTD,MALDON CM9 6SN,ESSEX,ENGLAND.</t>
  </si>
  <si>
    <t>Gibson, John/0000-0003-0371-2401</t>
  </si>
  <si>
    <t>10.1007/BF00223759</t>
  </si>
  <si>
    <t>MF026</t>
  </si>
  <si>
    <t>WOS:A1993MF02600025</t>
  </si>
  <si>
    <t>Malik, WA; Hadasch, S; Forkman, J; Piepho, HP</t>
  </si>
  <si>
    <t>Malik, W. A.; Hadasch, S.; Forkman, J.; Piepho, H. P.</t>
  </si>
  <si>
    <t>Nonparametric Resampling Methods for Testing Multiplicative Terms in AMMI and GGE Models for Multienvironment Trials</t>
  </si>
  <si>
    <t>STATISTICAL-ANALYSIS; YIELD TRIALS; CROSS-VALIDATION; STEPWISE TESTS; COMPONENTS; SELECTION; BIPLOT</t>
  </si>
  <si>
    <t>The additive main effects and multiplicative interaction (AMMI) and genotype and genotype 'environment interaction (GGE) models have been extensively used for the analysis of genotype 'environment experiments in plant breeding and variety testing. Since their introduction, several tests have been proposed for testing the significance of the multiplicative terms, including a parametric bootstrap procedure. However, all of these tests are based on the assumptions of normality and homogeneity variance of the errors. In this paper, we propose tests based on nonparametric bootstrap and permutation methods. The proposed tests do not require any strong distributional assumptions. We also propose a test that can handle heterogeneity of variance between environments. The robustness of the proposed tests is compared with the robustness of other competing tests. The simulation study shows that the proposed tests always perform better than the parametric bootstrap method when the distributional assumptions of normality and homogeneity of variance are violated. The stratified permutation test can be recommended in case of heterogeneity of variance between environments.</t>
  </si>
  <si>
    <t>[Malik, W. A.; Hadasch, S.; Piepho, H. P.] Univ Hohenheim, Inst Crop Sci, Biostat Unit, Fruwirthstr 23, D-70599 Stuttgart, Germany; [Forkman, J.] Swedish Univ Agr Sci, Dept Crop Prod Ecol, POB 7043, S-75007 Uppsala, Sweden</t>
  </si>
  <si>
    <t>University Hohenheim; Swedish University of Agricultural Sciences</t>
  </si>
  <si>
    <t>Malik, WA (corresponding author), Univ Hohenheim, Inst Crop Sci, Biostat Unit, Fruwirthstr 23, D-70599 Stuttgart, Germany.</t>
  </si>
  <si>
    <t>w.malik@uni-hohenheim.de</t>
  </si>
  <si>
    <t>Forkman, Johannes/AFK-0951-2022</t>
  </si>
  <si>
    <t>Malik, Waqas Ahmed/0000-0001-6455-5353; Piepho, Hans-Peter/0000-0001-7813-2992; Forkman, Johannes/0000-0002-5796-0710</t>
  </si>
  <si>
    <t>German Research Foundation (DFG) Grant [PI 377/17-1]</t>
  </si>
  <si>
    <t>German Research Foundation (DFG) Grant(German Research Foundation (DFG))</t>
  </si>
  <si>
    <t>This work was supported by German Research Foundation (DFG) Grant PI 377/17-1.</t>
  </si>
  <si>
    <t>MAR-APR</t>
  </si>
  <si>
    <t>10.2135/cropsci2017.10.0615</t>
  </si>
  <si>
    <t>GC0IF</t>
  </si>
  <si>
    <t>WOS:000429460300027</t>
  </si>
  <si>
    <t>Durand, JL; Andrieu, B; Barillot, R; Barre, P; Combes, D; Enjalbert, J; Escobar-Gutiérrez, A; Faverjon, L; Lecarpentier, C; Litrico, I; Louarn, G; Migault, V; Sanchez, L</t>
  </si>
  <si>
    <t>Durand, J. -L.; Andrieu, B.; Barillot, R.; Barre, P.; Combes, D.; Enjalbert, J.; Escobar-Gutierrez, A.; Faverjon, L.; Lecarpentier, C.; Litrico, I.; Louarn, G.; Migault, V.; Sanchez, L.</t>
  </si>
  <si>
    <t>Designing and improving mixed grasslands: advances made in modelling forage variety performance</t>
  </si>
  <si>
    <t>FOURRAGES</t>
  </si>
  <si>
    <t>French</t>
  </si>
  <si>
    <t>Cultivar breeding; cutting rate; drought; forage mixture; grass; grassland; growth model; intraspecific variability; legume; modelling; plant growth; root system; seed production; simulation; turf grasses</t>
  </si>
  <si>
    <t>PLANT; PRODUCTIVITY; PLASTICITY; SYSTEM</t>
  </si>
  <si>
    <t>Thanks to advances in modelling, it is possible to simulate changes in the productivity of multispecies grasslands over time based on the individual responses of plant varieties to variables such as light, water availability, and temperature. Individual-based models now exist for the most common grass and legume species. Virtual Grassland is one such tool in which several species can be combined to form a complex grassland; it also takes intraspecific variability into account. Using grain-crop models, it is possible to model the seed production of individual plants as well as successive cycles of vegetative production. Quantitative genetics have helped characterise functional traits, thus establishing a link between crop ecophysiology and the genetic composition of subsequent generations. These advances have paved the way for improvements in plant breeding programmes and have clarified grassland composition rules, which will allow mixed grassland systems to better confront climate change.</t>
  </si>
  <si>
    <t>[Durand, J. -L.; Barre, P.; Combes, D.; Escobar-Gutierrez, A.; Faverjon, L.; Litrico, I.; Louarn, G.; Migault, V.] INRA, UR P3F, Le Chene BP 6, F-86600 Lusignan, France; [Andrieu, B.; Barillot, R.] AgroParisTech, ECOSYS, UMR1402, F-78850 Thiverval Grignon, France; [Enjalbert, J.; Lecarpentier, C.] INRA, UMR 0320, UMR 8120, Genet Quantitat &amp; Evolut, F-91190 Gif Sur Yvette, France; [Sanchez, L.] INRA, Unite Ameliorat Genet &amp; Physiol Forestiere, F-45166 Olivet, France</t>
  </si>
  <si>
    <t>INRAE; AgroParisTech; Universite Paris Saclay; AgroParisTech; Centre National de la Recherche Scientifique (CNRS); Universite Paris Saclay; CNRS - National Institute for Biology (INSB); INRAE; INRAE</t>
  </si>
  <si>
    <t>Durand, JL (corresponding author), INRA, UR P3F, Le Chene BP 6, F-86600 Lusignan, France.</t>
  </si>
  <si>
    <t>jean-louis.durand@lusignan.inra.fr</t>
  </si>
  <si>
    <t>Escobar-Gutiérrez, Abraham/A-6613-2009; Barillot, Romain/G-2016-2012; Andrieu, Bruno/J-7737-2012</t>
  </si>
  <si>
    <t>Andrieu, Bruno/0000-0002-7933-9490</t>
  </si>
  <si>
    <t>ASSOC FRANCAISE PRODUCTION FOURRAGERE</t>
  </si>
  <si>
    <t>PARIS CEDEX 12</t>
  </si>
  <si>
    <t>MAISON NATIONALE DES ELEVEURS -149 RUE DE BERCY, PARIS CEDEX 12, FRANCE</t>
  </si>
  <si>
    <t>0429-2766</t>
  </si>
  <si>
    <t>Fourrages</t>
  </si>
  <si>
    <t>DM6OQ</t>
  </si>
  <si>
    <t>WOS:000376472700003</t>
  </si>
  <si>
    <t>DUDLEY, JW</t>
  </si>
  <si>
    <t>THEORY FOR TRANSFER OF ALLELES</t>
  </si>
  <si>
    <t>An attempt was made to provide a theoretical framework for developing methods for incorporation of favorable alleles governing quantitative traits from exotic germplasm into adapted populations and to present computer simulation results evaluating the theory. Theoretical considerations suggest that the results apply to either improvement of an inbred line by adding favorable alleles from another line or to addition of favorable alleles from an exotic source to an adapted synthetic. If one parent has more loci containing favorable alleles than the other, at least 1 generation of backcrossing to the recipient population prior to initiation of selection will enhance the probability of recovering a population which outperforms the better parent or a line better than the best line which could be isolated from the better parent. Selection starting in the appropriate generation will usually be necessary to either improve the population mean to the desired level or to increase to a reasonable level the probability of obtaining a superior inbred line. The more diverse the parents, the more useful 1 or more generations of backcrossing becomes. [Examples were provided using Glycine max, Zea mays, Avena sp. in plant breeding.].</t>
  </si>
  <si>
    <t>UNIV ILLINOIS, DEPT AGRON, URBANA, IL 61801 USA</t>
  </si>
  <si>
    <t>10.2135/cropsci1982.0011183X002200030049x</t>
  </si>
  <si>
    <t>NX516</t>
  </si>
  <si>
    <t>WOS:A1982NX51600046</t>
  </si>
  <si>
    <t>Jiang, SQ; Cheng, Q; Yan, J; Fu, R; Wang, XF</t>
  </si>
  <si>
    <t>Jiang, Shuqin; Cheng, Qian; Yan, Jun; Fu, Ran; Wang, Xiangfeng</t>
  </si>
  <si>
    <t>Genome optimization for improvement of maize breeding</t>
  </si>
  <si>
    <t>WIDE ASSOCIATION; RIDGE-REGRESSION; SELECTION; PREDICTION; COMPLEX</t>
  </si>
  <si>
    <t>Key message We propose a new model to improve maize breeding that incorporates doubled haploid production, genomic selection, and genome optimization. Breeding 4.0 has been considered the next era of plant breeding. It is clear that the Breeding 4.0 era for maize will feature the integration of multi-disciplinary technologies including genomics and phenomics, gene editing and synthetic biology, and Big Data and artificial intelligence. The breeding approach of passively selecting ideal genotypes from designated genetic pools must soon evolve to virtual design of optimized genomes by pyramiding superior alleles using computational simulation. An optimized genome expressing optimal phenotypes, which may never actually be created, can function as a blueprint for breeding programs to use minimal materials and hybridizations to achieve maximum genetic gain. We propose a new breeding pipeline, genomic design breeding, that incorporates doubled haploid production, genomic selection, and genome optimization and is facilitated by different scales of trait predictions and decision-making models. Successful implementation of the proposed model will facilitate the evolution of maize breeding from art to science and eventually to intelligence, in the Breeding 4.0 era.</t>
  </si>
  <si>
    <t>[Jiang, Shuqin; Yan, Jun; Fu, Ran; Wang, Xiangfeng] China Agr Univ, Coll Agron &amp; Biotechnol, Natl Maize Improvement Ctr, Beijing 100913, Peoples R China; [Cheng, Qian] Northwest A&amp;F Univ, Minist Agr, Key Lab Biol &amp; Genet Improvement Maize Arid Area, Xianyang, Shaanxi, Peoples R China</t>
  </si>
  <si>
    <t>China Agricultural University; Northwest A&amp;F University - China; Ministry of Agriculture &amp; Rural Affairs</t>
  </si>
  <si>
    <t>Wang, XF (corresponding author), China Agr Univ, Coll Agron &amp; Biotechnol, Natl Maize Improvement Ctr, Beijing 100913, Peoples R China.</t>
  </si>
  <si>
    <t>xwang@cau.edu.cn</t>
  </si>
  <si>
    <t>CHENG, 芊/KXQ-6447-2024; wang, xia/HJI-5034-2023</t>
  </si>
  <si>
    <t>Wang, Xiangfeng/0000-0002-6406-5597; Fu, Ran/0000-0002-7936-1321; Yan, Jun/0009-0006-8786-2210</t>
  </si>
  <si>
    <t>National Science Foundation of China [31871706] Funding Source: Medline; Key Research and Development Program of China [2017YFD0102001-3] Funding Source: Medline</t>
  </si>
  <si>
    <t>National Science Foundation of China(National Natural Science Foundation of China (NSFC)); Key Research and Development Program of China</t>
  </si>
  <si>
    <t>10.1007/s00122-019-03493-z</t>
  </si>
  <si>
    <t>LM0BY</t>
  </si>
  <si>
    <t>WOS:000531920500007</t>
  </si>
  <si>
    <t>Turcotte, MM; Lochab, AK; Turley, NE; Johnson, MTJ</t>
  </si>
  <si>
    <t>Turcotte, Martin M.; Lochab, Amaneet K.; Turley, Nash E.; Johnson, Marc T. J.</t>
  </si>
  <si>
    <t>Plant domestication slows pest evolution</t>
  </si>
  <si>
    <t>ECOLOGY LETTERS</t>
  </si>
  <si>
    <t>Agroecology; artificial selection; clonal sorting; contemporary evolution; crop ancestors; herbivory; individual-based model; pest resistance; plant breeding; plant-herbivore interactions</t>
  </si>
  <si>
    <t>GENERAL-PURPOSE GENOTYPES; CROP DOMESTICATION; RESISTANCE; APHID; COEVOLUTION; SELECTION; PATTERNS; INSECTS; IMPACT</t>
  </si>
  <si>
    <t>Agricultural practices such as breeding resistant varieties and pesticide use can cause rapid evolution of pest species, but it remains unknown how plant domestication itself impacts pest contemporary evolution. Using experimental evolution on a comparative phylogenetic scale, we compared the evolutionary dynamics of a globally important economic pest - the green peach aphid (Myzus persicae) - growing on 34 plant taxa, represented by 17 crop species and their wild relatives. Domestication slowed aphid evolution by 13.5%, maintained 10.4% greater aphid genotypic diversity and 5.6% higher genotypic richness. The direction of evolution (i.e. which genotypes increased in frequency) differed among independent domestication events but was correlated with specific plant traits. Individual-based simulation models suggested that domestication affects aphid evolution directly by reducing the strength of selection and indirectly by increasing aphid density and thus weakening genetic drift. Our results suggest that phenotypic changes during domestication can alter pest evolutionary dynamics.</t>
  </si>
  <si>
    <t>[Turcotte, Martin M.; Lochab, Amaneet K.; Turley, Nash E.; Johnson, Marc T. J.] Univ Toronto, Dept Biol, Mississauga, ON L5L 1C6, Canada; [Turcotte, Martin M.] ETH, Inst Integrat Biol, CH-8092 Zurich, Switzerland; [Turley, Nash E.] Michigan State Univ, Dept Plant Biol, E Lansing, MI 48824 USA</t>
  </si>
  <si>
    <t>University of Toronto; University Toronto Mississauga; Swiss Federal Institutes of Technology Domain; ETH Zurich; Michigan State University</t>
  </si>
  <si>
    <t>Turcotte, MM (corresponding author), Univ Toronto, Dept Biol, Mississauga, ON L5L 1C6, Canada.</t>
  </si>
  <si>
    <t>mart.turcotte@gmail.com</t>
  </si>
  <si>
    <t>Turcotte, Martin/D-9591-2011</t>
  </si>
  <si>
    <t>Turcotte, Martin/0000-0003-3949-6958</t>
  </si>
  <si>
    <t>National Science Foundation Graduate Research Fellowship Program (NSF GRFP); University of Toronto; NSERC; Canadian Foundation for Innovation; Ontario Research Fund</t>
  </si>
  <si>
    <t>National Science Foundation Graduate Research Fellowship Program (NSF GRFP)(National Science Foundation (NSF)NSF - Office of the Director (OD)); University of Toronto(University of Toronto); NSERC(Natural Sciences and Engineering Research Council of Canada (NSERC)); Canadian Foundation for Innovation(Canada Foundation for Innovation); Ontario Research Fund</t>
  </si>
  <si>
    <t>We thank T. Didiano, U. Feroze, C. Fitzpatrick, R. Godfrey, P. Huynh, M. Khan, Y. Ly, T. Masoud, A. Miller, L. Sequeira, C. Thomsen, O. Tkachenko and H. Turcotte for providing assistance with the experiment. A. Agrawal, J. Newman and G. Ryan provided helpful comments on the experimental design. This study would have been impossible without the generous donations from seed providers (see Turcotte et al. 2014). This study was supported by the National Science Foundation Graduate Research Fellowship Program (NSF GRFP) to N.E.T. A.K.L. received funding from the University of Toronto Undergraduate Research Fellowship, and M.T.J.J. received funding from NSERC, the Canadian Foundation for Innovation, the Ontario Research Fund and the University of Toronto Connaught Fellowship.</t>
  </si>
  <si>
    <t>1461-023X</t>
  </si>
  <si>
    <t>1461-0248</t>
  </si>
  <si>
    <t>ECOL LETT</t>
  </si>
  <si>
    <t>Ecol. Lett.</t>
  </si>
  <si>
    <t>10.1111/ele.12467</t>
  </si>
  <si>
    <t>Ecology</t>
  </si>
  <si>
    <t>CP0XV</t>
  </si>
  <si>
    <t>WOS:000359601100004</t>
  </si>
  <si>
    <t>BRIDGES, WC; KNAPP, SJ; CORNELIUS, PL</t>
  </si>
  <si>
    <t>STANDARD ERRORS AND CONFIDENCE-INTERVAL ESTIMATORS FOR EXPECTED SELECTION RESPONSE</t>
  </si>
  <si>
    <t>Expected selection response (R) is widely used in plant breeding to compare populations and selection schemes, but methods have not been described for estimating variances or confidence intervals of R, or, if they have, their validity is uncertain. In this paper, we describe an exact and approximate standard error of R and normal-approximation intervals of R. We used simulation to test the validity of these intervals by comparing realized coverage probabilities to stated coverage probabilities for different experiment sizes, stated coverage probability values, and values of family-mean heritability (H). Coverages of the normal-approximation interval estimated using the exact standard error (interval R1) ranged from 0.874 to 0.922 and 0.932 to 0.966 for stated coverages of 0.90 and 0.95, respectively. Coverages of the normal-approximation interval estimated using the approximate standard error (interval R2) ranged from 0.880 to 0.940 and 0.934 to 0.980 for stated coverages of 0.90 and 0.95, respectively. Both R1 and R2 are valid interval estimators for R if the usual assumptions of the analysis of variance are met.</t>
  </si>
  <si>
    <t>OREGON STATE UNIV, DEPT CROP SCI, CORVALLIS, OR 97331 USA; UNIV KENTUCKY, DEPT AGRON, LEXINGTON, KY 40546 USA; CLEMSON UNIV, DEPT EXPTL STAT, CLEMSON, SC 29634 USA</t>
  </si>
  <si>
    <t>Oregon State University; University of Kentucky; Clemson University</t>
  </si>
  <si>
    <t>10.2135/cropsci1991.0011183X003100020002x</t>
  </si>
  <si>
    <t>FZ643</t>
  </si>
  <si>
    <t>WOS:A1991FZ64300001</t>
  </si>
  <si>
    <t>Schopp, P; Müller, D; Wientjes, YCJ; Melchinger, AE</t>
  </si>
  <si>
    <t>Schopp, Pascal; Mueller, Dominik; Wientjes, Yvonne C. J.; Melchinger, Albrecht E.</t>
  </si>
  <si>
    <t>Genomic Prediction Within and Across Biparental Families: Means and Variances of Prediction Accuracy and Usefulness of Deterministic Equations</t>
  </si>
  <si>
    <t>genomic prediction; biparental families; plant breeding; GBLUP deterministic accuracy; linkage disequilibrium; GenPred; Shared Data Resources; Genomic Selection</t>
  </si>
  <si>
    <t>LINKAGE DISEQUILIBRIUM; TRAINING POPULATIONS; GENOMEWIDE SELECTION; INDIVIDUALS; TRAITS; VALUES; INFORMATION; RELIABILITY; SIMULATION; ALLOCATION</t>
  </si>
  <si>
    <t>A major application of genomic prediction (GP) in plant breeding is the identification of superior inbred lines within families derived from biparental crosses. When models for various traits were trained within related or unrelated biparental families (BPFs), experimental studies found substantial variation in prediction accuracy (PA), but little is known about the underlying factors. We used SNP marker genotypes of inbred lines from either elite germplasm or landraces of maize (Zea mays L.) as parents to generate in silico 300 BPFs of doubled-haploid lines. We analyzed PA within each BPF for 50 simulated polygenic traits, using genomic best linear unbiased prediction (GBLUP) models trained with individuals from either full-sib (FSF), half-sib (HSF), or unrelated families (URF) for various sizes (N (train)) of the training set and different heritabilities (h(2)). In addition, we modified two deterministic equations for forecasting PA to account for inbreeding and genetic variance unexplained by the training set. Averaged across traits, PA was high within FSF (0.41-0.97) with large variation only for N-train &lt; 50 and h(2) &lt; 0.6. For HSF and URF, PA was on average similar to 40-60% lower and varied substantially among different combinations of BPFs used for model training and prediction as well as different traits. As exemplified by HSF results, PA of across-family GP can be very low if causal variants not segregating in the training set account for a sizeable proportion of the genetic variance among predicted individuals. Deterministic equations accurately forecast the PA expected over many traits, yet cannot capture trait-specific deviations. We conclude that model training within BPFs generally yields stable PA, whereas a high level of uncertainty is encountered in across-family GP. Our study shows the extent of variation in PA that must be at least reckoned with in practice and offers a starting point for the design of training sets composed of multiple BPFs.</t>
  </si>
  <si>
    <t>[Schopp, Pascal; Mueller, Dominik; Melchinger, Albrecht E.] Univ Hohenheim, Inst Plant Breeding Seed Sci &amp; Populat Genet, Fruwirthstr 21, D-70599 Stuttgart, Germany; [Wientjes, Yvonne C. J.] Wageningen Univ &amp; Res, Anim Breeding &amp; Genom, NL-6700 AH Wageningen, Netherlands</t>
  </si>
  <si>
    <t>University Hohenheim; Wageningen University &amp; Research</t>
  </si>
  <si>
    <t>Melchinger, AE (corresponding author), Univ Hohenheim, Inst Plant Breeding Seed Sci &amp; Populat Genet, Fruwirthstr 21, D-70599 Stuttgart, Germany.</t>
  </si>
  <si>
    <t>melchinger@uni-hohenheim.de</t>
  </si>
  <si>
    <t>Wientjes, Yvonne/AGH-3098-2022</t>
  </si>
  <si>
    <t>Wientjes, Yvonne/0000-0002-0681-2902; Melchinger, Albrecht E./0000-0002-8346-7786</t>
  </si>
  <si>
    <t>Syngenta; International Maize and Wheat Improvement Center/Gesellschaft fur Internationale Zusammenarbeit (CIMMYT/GIZ) through the Climate Resilient Maize for Asia (CRMA) [15.78600.8-001-00]</t>
  </si>
  <si>
    <t>Syngenta(Syngenta); International Maize and Wheat Improvement Center/Gesellschaft fur Internationale Zusammenarbeit (CIMMYT/GIZ) through the Climate Resilient Maize for Asia (CRMA)</t>
  </si>
  <si>
    <t>We thank Chris-Carolin Schon, Matthias Westhues, Tobias Schrag, and Willem Molenaar for valuable suggestions to improve the content of this manuscript. P.S. acknowledges Syngenta for partially funding this research by a Ph.D. fellowship, and A.E.M. acknowledges the financial contribution of the International Maize and Wheat Improvement Center/Gesellschaft fur Internationale Zusammenarbeit (CIMMYT/GIZ) through the Climate Resilient Maize for Asia (CRMA) Project 15.78600.8-001-00.</t>
  </si>
  <si>
    <t>10.1534/g3.117.300076</t>
  </si>
  <si>
    <t>FL7ZI</t>
  </si>
  <si>
    <t>WOS:000414469000002</t>
  </si>
  <si>
    <t>McClosky, B; LaCombe, J; Tanksley, SD</t>
  </si>
  <si>
    <t>McClosky, Benjamin; LaCombe, Jason; Tanksley, Steven D.</t>
  </si>
  <si>
    <t>Selfing for the design of genomic selection experiments in biparental plant populations</t>
  </si>
  <si>
    <t>SINGLE-SEED-DESCENT; GENOMEWIDE SELECTION; GENETIC ARCHITECTURE; WIDE SELECTION; UNIT TIME; MAIZE; LINES; PERFORMANCE; ACCURACY; PREDICTION</t>
  </si>
  <si>
    <t>Self-fertilization (selfing) is commonly used for population development in plant breeding, and it is well established that selfing increases genetic variance between lines, thus increasing response to phenotypic selection. Furthermore, numerous studies have explored how selfing can be deployed to maximal benefit in the context of traditional plant breeding programs (Cornish in Heredity 65:201-211,1990a, Heredity 65:213-220,1990b; Liu et al. in Theor Appl Genet 109:370-376, 2004; Pooni and Jinks in Heredity 54:255-260, 1985). However, the impact of selfing on response to genomic selection has not been explored. In the current study we examined how selfing impacts the two key aspects of genomic selection-GEBV prediction (training) and selection response. We reach the following conclusions: (1) On average, selfing increases genomic selection gains by more than 70 %. (2) The gains in genomic selection response attributable to selfing hold over a wide range population sizes (100-500), heritabilities (0.2-0.8), and selection intensities (0.01-0.1). However, the benefits of selfing are dramatically reduced as the number of QTLs drops below 20. (3) The major cause of the improved response to genomic selection with selfing is through an increase in the occurrence of superior genotypes and not through improved GEBV predictions. While performance of the training population improves with selfing (especially with low heritability and small population sizes), the magnitude of these improvements is relatively small compared with improvements observed in the selection population. To illustrate the value of these insights, we propose a practical genomic selection scheme that substantially shortens the number of generations required to fully capture the benefits of selfing. Specifically, we provide simulation evidence that indicates the proposed scheme matches or exceeds the selection gains observed in advanced populations (i.e. F (8) and doubled haploid) across a broad range of heritability and QTL models. Without sacrificing selection gains, we also predict that fully inbred candidates for potential commercialization can be identified as early as the F (4) generation.</t>
  </si>
  <si>
    <t>[McClosky, Benjamin; LaCombe, Jason; Tanksley, Steven D.] Nat Source Genet, Ithaca, NY 14850 USA</t>
  </si>
  <si>
    <t>McClosky, B (corresponding author), Nat Source Genet, 33 Thornwood Dr Suite 300, Ithaca, NY 14850 USA.</t>
  </si>
  <si>
    <t>10.1007/s00122-013-2182-x</t>
  </si>
  <si>
    <t>240TK</t>
  </si>
  <si>
    <t>WOS:000326119700017</t>
  </si>
  <si>
    <t>Zingaretti, ML; Monfort, A; Pérez-Enciso, M</t>
  </si>
  <si>
    <t>Zingaretti, Maria L.; Monfort, Amparo; Perez-Enciso, Miguel</t>
  </si>
  <si>
    <t>pSBVB: A Versatile Simulation Tool To Evaluate Genomic Selection in Polyploid Species</t>
  </si>
  <si>
    <t>Genomic selection; Polyploids; Simulation; pSBVB; Genomic Prediction; GenPred; Shared Data Resources</t>
  </si>
  <si>
    <t>ASSOCIATION; PREDICTION; EFFICIENT; FITNESS; TRAITS</t>
  </si>
  <si>
    <t>Genomic Selection (GS) is the procedure whereby molecular information is used to predict complex phenotypes and it is standard in many animal and plant breeding schemes. However, only a small number of studies have been reported in horticultural crops, and in polyploid species in particular. In this paper, we have developed a versatile forward simulation tool, called polyploid Sequence Based Virtual Breeding (pSBVB), to evaluate GS strategies in polyploids; pSBVB is an efficient gene dropping software that can simulate any number of complex phenotypes, allowing a very flexible modeling of phenotypes suited to polyploids. As input, it takes genotype data from the founder population, which can vary from single nucleotide polymorphisms (SNP) chips up to sequence, a list of causal variants for every trait and their heritabilities, and the pedigree. Recombination rates between homeologous chromosomes can be specified, so that both allo- and autopolyploid species can be considered. The program outputs phenotype and genotype data for all individuals in the pedigree. Optionally, it can produce several genomic relationship matrices that consider exact or approximate genotype values. pSBVB can therefore be used to evaluate GS strategies in polyploid species (say varying SNP density, genetic architecture or population size, among other factors), or to optimize experimental designs for association studies. We illustrate pSBVB with SNP data from tetraploid potato and partial sequence data from octoploid strawberry, and we show that GS is a promising breeding strategy for polyploid species but that the actual advantage critically depends on the underlying genetic architecture. Source code, examples and a complete manual are freely available in GitHub https://github.com/lauzingaretti/pSBVB.</t>
  </si>
  <si>
    <t>[Zingaretti, Maria L.; Monfort, Amparo; Perez-Enciso, Miguel] CSIC IRTA UAB UB Consortium, CRAG, Barcelona 08193, Spain; [Monfort, Amparo] IRTA, Barcelona, Spain; [Perez-Enciso, Miguel] Passeig Lluis Co 23, ICREA, Barcelona 08010, Spain</t>
  </si>
  <si>
    <t>IRTA; University of Barcelona; Consejo Superior de Investigaciones Cientificas (CSIC); Centre de Recerca en Agrigenomica (CRAG); IRTA; ICREA</t>
  </si>
  <si>
    <t>Zingaretti, ML (corresponding author), CRAG, Barcelona, Spain.;Pérez-Enciso, M (corresponding author), ICREA, CRAG, Fac Vet, Barcelona 08193, Spain.</t>
  </si>
  <si>
    <t>laura.zingaretti@cragenomica.es</t>
  </si>
  <si>
    <t>Zingaretti, María/U-5233-2019; Perez-Enciso, Miguel/H-6057-2015; Monfort, Amparo/K-1356-2015</t>
  </si>
  <si>
    <t>Monfort, Amparo/0000-0001-7106-7745; Zingaretti, Laura M./0000-0001-5618-2630</t>
  </si>
  <si>
    <t>Ministry of Economy and Science (MINECO, Spain) [SEV-2015-0533]; MINECO [RTA2013-00010-00-00, AGL2016-78709-R]</t>
  </si>
  <si>
    <t>Ministry of Economy and Science (MINECO, Spain); MINECO(Spanish Government)</t>
  </si>
  <si>
    <t>MLZ is recipient of a FPI grant to achieve the PhD research from Ministry of Economy and Science (MINECO, Spain), associated with 'Centro de Excelencia Severo Ochoa 2016-2019' award SEV-2015-0533 to CRAG. Work funded by MINECO grant RTA2013-00010-00-00 to AM and AGL2016-78709-R to MPE. We also acknowledge genotyping data provided by General Mills.</t>
  </si>
  <si>
    <t>10.1534/g3.118.200942</t>
  </si>
  <si>
    <t>HO5GR</t>
  </si>
  <si>
    <t>WOS:000460952700002</t>
  </si>
  <si>
    <t>Podlich, DW; Cooper, M; Basford, KE</t>
  </si>
  <si>
    <t>Computer simulation of a selection strategy to accommodate genotype-environment interactions in a wheat recurrent selection programme</t>
  </si>
  <si>
    <t>Triticum aestivum; computer simulation; disruptive selection; G x E interactions; target population of environments; weighted selection strategy</t>
  </si>
  <si>
    <t>YIELD</t>
  </si>
  <si>
    <t>Multi-environment trials (METs) are used in plant breeding programmes to evaluate genotypes (lines/families) as a basis for selection on expected performance (yield and/or quality) in a target population of environments (TPE). When a large component of the genotype-environment (G x E) interactions results from crossover interactions, samples of environments in METs that deviate From the TPE provide a suboptimal basis for selection of genotypes on performance expected in the TPE. To adjust for the negative effects of these deviations, a selection strategy that weights the data from the MET according to their expected frequency of occurrence in the TPE (i.e. a weighted selection strategy)was investigated. Computer simulation methodology was used to obtain preliminary information on the weighted selection strategy and compare it to the traditional unweighted selection strategy For a range of MET scenarios and G x E interaction models. The evaluation of the weighted selection strategy was conducted in context with the germplasm enhancement programme (GEP) of the Northern Wheat Improvement Programme in Australia. The results indicated that when the environments sampled in the MET matched those expected in the TPE, the unweighted and weighted selection strategies achieved a similar response to selection in the TPE. However. when the environments sampled in the MET did not match the expectations in the TPE and a large component of the G x E interactions resulted from crossover interactions, the weighted selection strategy achieved a greater response to selection in the TPE. The advantage of the weighted strategy increased as the amount of crossover G x E interaction increased or fewer environments were sampled in the METs.</t>
  </si>
  <si>
    <t>Cooper, Mark/AAG-8551-2019; Basford, Kaye/T-9578-2019</t>
  </si>
  <si>
    <t>Basford, Kaye/0000-0003-0955-4504; Cooper, Mark/0000-0002-9418-3359</t>
  </si>
  <si>
    <t>1439-0523</t>
  </si>
  <si>
    <t>10.1046/j.1439-0523.1999.118001017.x</t>
  </si>
  <si>
    <t>189KB</t>
  </si>
  <si>
    <t>WOS:000079902700002</t>
  </si>
  <si>
    <t>Boote, KJ; Jones, JW; Hoogenboom, G</t>
  </si>
  <si>
    <t>Boote, K. J.; Jones, J. W.; Hoogenboom, G.</t>
  </si>
  <si>
    <t>Incorporating realistic trait physiology into crop growth models to support genetic improvement</t>
  </si>
  <si>
    <t>Climate change; CROPGRO-model; crop simulation; crop physiology; genotype-specific-parameters (GSP); genotype by environment interaction; genetic improvement; phenotype</t>
  </si>
  <si>
    <t>SOYBEAN-CHICKPEA ROTATION; RECOMBINANT INBRED LINES; RAIN-FED CONDITIONS; SIMULATION-MODELS; CLIMATE-CHANGE; FLOWERING PHENOLOGY; PEANUT CULTIVARS; WATER-BALANCE; QTL ANALYSIS; LEAF GROWTH</t>
  </si>
  <si>
    <t>In silico plant modelling is the use of dynamic crop simulation models to evaluate hypothetical plant traits (phenology, processes and plant architecture) that will enhance crop growth and yield for a defined target environment and crop management (weather, soils, limited resource). To be useful for genetic improvement, crop models must realistically simulate the principles of crop physiology responses to the environment and the principles by which genetic variation affects the dynamic crop carbon, water and nutrient processes. Ideally, crop models should have sufficient physiological detail of processes to incorporate the genetic effects on these processes to allow for robust simulations of response outcomes in different environments. Yield, biomass, harvest index, flowering date and maturity are emergent outcomes of many interacting genes and processes rather than being primary traits directly driven by singular genetics. Examples will be given for several grain legumes, using the CSM-CROPGRO model, to illustrate emergent outcomes simulated as a result of single and multiple combinations of genotype-specific parameters and to illustrate genotype by environment interactions that may occur in different target environments. Specific genetically influenced traits can result in G x E interactions on crop growth and yield outcomes as affected by available water, CO2 concentration, temperature, and other factors. An emergent outcome from a given genetic trait may increase yield in one environment but have little or negative effect in another environment. Much work is needed to link genetic effects to the physiological processes for in silico modelling applications, especially for plant breeding under future climate change.</t>
  </si>
  <si>
    <t>[Boote, K. J.; Jones, J. W.; Hoogenboom, G.] Univ Florida, Agr &amp; Biol Engn Dept, Gainesville, FL 32611 USA</t>
  </si>
  <si>
    <t>State University System of Florida; University of Florida</t>
  </si>
  <si>
    <t>Boote, KJ (corresponding author), Univ Florida, Agr &amp; Biol Engn Dept, Gainesville, FL 32611 USA.</t>
  </si>
  <si>
    <t>kjhboote@ufl.edu</t>
  </si>
  <si>
    <t>Hoogenboom, Gerrit/0000-0002-1555-0537; Boote, Kenneth/0000-0002-1358-5496</t>
  </si>
  <si>
    <t>diab002</t>
  </si>
  <si>
    <t>10.1093/insilicoplants/diab002</t>
  </si>
  <si>
    <t>WOS:000729238000009</t>
  </si>
  <si>
    <t>Kuchel, H; Ye, GY; Fox, R; Jefferies, S</t>
  </si>
  <si>
    <t>Genetic and economic analysis of a targeted marker-assisted wheat breeding strategy</t>
  </si>
  <si>
    <t>economics; marker-assisted selection; plant breeding; simulation; Triticum aestivum</t>
  </si>
  <si>
    <t>BREAD WHEAT; TRITICUM-AESTIVUM; RUST RESISTANCE; DNA MARKERS; SELECTION; PROGRAMS; VALIDATION; SIMULATION; EFFICIENCY; TOLERANCE</t>
  </si>
  <si>
    <t>The advent of molecular markers as a tool to aid selection has provided plant breeders with the opportunity to rapidly deliver superior genetic solutions to problems in agricultural production systems. However, a major constraint to the implementation of marker-assisted selection (MAS) in pragmatic breeding programs in the past has been the perceived high relative cost of MAS compared to conventional phenotypic selection. In this paper, computer simulation was used to design a genetically effective and economically efficient marker-assisted breeding strategy aimed at a specific outcome. Under investigation was a strategy involving the integration of both restricted backcrossing and doubled haploid (DH) technology. The point at which molecular markers are applied in a selection strategy can be critical to the effectiveness and cost efficiency of that strategy. The application of molecular markers was considered at three phases in the strategy: allele enrichment in the BC1F1 population, gene selection at the haploid stage and the selection for recurrent parent background of DHs prior to field testing. Overall, incorporating MAS at all three stages was the most effective, in terms of delivering a high frequency of desired outcomes and at combining the selected favourable rust resistance, end use quality and grain yield alleles. However, when costs were included in the model the combination of MAS at the BC1F1 and haploid stage was identified as the optimal strategy. A detailed economic analysis showed that incorporation of marker selection at these two stages not only increased genetic gain over the phenotypic alternative but actually reduced the over all cost by 40%.</t>
  </si>
  <si>
    <t>Australian Grain Technol, Roseworthy, SA 5371, Australia; Univ Adelaide, Sch Agr &amp; Wine, Glen Osmond, SA 5064, Australia; Univ Adelaide, Mol Plant Breeding Cooperat Res Ctr, Glen Osmond, SA 5264, Australia; Univ Queensland, Sch Land &amp; Food Sci, Brisbane, Qld 4072, Australia</t>
  </si>
  <si>
    <t>University of Adelaide; University of Adelaide; University of Queensland</t>
  </si>
  <si>
    <t>Kuchel, H (corresponding author), Australian Grain Technol, Perkins Bldg,Roseworthy Campus, Roseworthy, SA 5371, Australia.</t>
  </si>
  <si>
    <t>haydn.kuchel@ausgraintech.com</t>
  </si>
  <si>
    <t>10.1007/s11032-005-4785-7</t>
  </si>
  <si>
    <t>964CS</t>
  </si>
  <si>
    <t>WOS:000231856900007</t>
  </si>
  <si>
    <t>Palosuo, T; Rötter, RP; Salo, T; Peltonen-Sainio, P; Tao, F; Lehtonen, H</t>
  </si>
  <si>
    <t>Palosuo, Taru; Rotter, Reimund P.; Salo, Tapio; Peltonen-Sainio, Pirjo; Tao, Fulu; Lehtonen, Heikki</t>
  </si>
  <si>
    <t>Effects of climate and historical adaptation measures on barley yield trends in Finland</t>
  </si>
  <si>
    <t>CLIMATE RESEARCH</t>
  </si>
  <si>
    <t>Adaptation; Climate; Crop simulation modelling; Plant breeding; Spring barley; Yield gap</t>
  </si>
  <si>
    <t>CROP PRODUCTION; QUANTITATIVE-EVALUATION; GROWING-SEASON; SPRING BARLEY; FIELD CROPS; WHEAT; NORTHERN; CEREAL; NITROGEN; WEATHER</t>
  </si>
  <si>
    <t>In this study, the WOFOST crop simulation model was used together with comprehensive empirical databases on barley Hordeum vulgare L. to study the contributions of different yield-determining and -limiting factors to observed trends of barley yield in Finland from 1988 to 2008. Simulations were performed at 3 study sites representing different agro-ecological zones, and compared with the data from experimental sites and that reported by local farmers. Yield gaps between simulated potential yields and farmers' yields and their trends were assessed. Positive observed yield trends of Finnish barley mostly resulted from the development and usage of new, high-yielding cultivars. Simulated trends in climatic potential and water-limited potential yields of individual cultivars showed a slight declining trend. Yield gaps showed an increasing trend in 2 out of 3 study areas. Since the mid-1990s, a major reason for this has been the lack of market and policy incentives favouring crop management decisions, i.e. annual fertilisation, soil maintenance, drainage and crop rotation decisions, aiming for higher yields. The study indicates potential options for increasing or maintaining barley yields in the future. The breeding of new climate-resilient cultivars is the primary option. However, this needs to work alongside overall adjustments to farm management and must be supported by financial incentives for farmers to increase yields.</t>
  </si>
  <si>
    <t>[Palosuo, Taru; Rotter, Reimund P.; Salo, Tapio; Peltonen-Sainio, Pirjo; Tao, Fulu; Lehtonen, Heikki] Nat Resources Inst Finland Luke, Helsinki 00790, Finland</t>
  </si>
  <si>
    <t>Palosuo, T (corresponding author), Nat Resources Inst Finland Luke, Helsinki 00790, Finland.</t>
  </si>
  <si>
    <t>taru.palosuo@luke.fi</t>
  </si>
  <si>
    <t>Salo, Tapio/O-3204-2017; Rotter, Reimund P./Y-9579-2019; Palosuo, Taru/B-9593-2012</t>
  </si>
  <si>
    <t>Rotter, Reimund P./0000-0002-3804-9964; Palosuo, Taru/0000-0003-4322-3450; Tao, F/0000-0001-8574-0080; Salo, Tapio/0000-0002-7820-122X</t>
  </si>
  <si>
    <t>Finnish Research Programme on Climate Change's (FICCA) A-LA-CARTE project [140806]; Academy of Finland; NORFASYS project [268277]; Finnish Ministry of Agriculture and Forestry; MTT Agrifood Research Finland</t>
  </si>
  <si>
    <t>Finnish Research Programme on Climate Change's (FICCA) A-LA-CARTE project; Academy of Finland(Research Council of Finland); NORFASYS project; Finnish Ministry of Agriculture and Forestry; MTT Agrifood Research Finland</t>
  </si>
  <si>
    <t>Thanks to Lauri Jauhiainen, Ari Rajala and Marja Jalli for their help in gathering cultivar data. This work was conducted as part of the following research projects: Finnish Research Programme on Climate Change's (FICCA) A-LA-CARTE project (decision no. 140806), funded by the Academy of Finland; NORFASYS (decision no. 268277) project, also funded by the Academy of Finland; FACCE-Macsur, funded by the Finnish Ministry of Agriculture and Forestry; ILMAPUSKURI, funded by the Finnish Ministry of Agriculture and Forestry and MTT Agrifood Research Finland; and MODAGS and SusIntens, funded by MTT Agrifood Research Finland.</t>
  </si>
  <si>
    <t>INTER-RESEARCH</t>
  </si>
  <si>
    <t>OLDENDORF LUHE</t>
  </si>
  <si>
    <t>NORDBUNTE 23, D-21385 OLDENDORF LUHE, GERMANY</t>
  </si>
  <si>
    <t>0936-577X</t>
  </si>
  <si>
    <t>1616-1572</t>
  </si>
  <si>
    <t>CLIM RES</t>
  </si>
  <si>
    <t>Clim. Res.</t>
  </si>
  <si>
    <t>10.3354/cr01317</t>
  </si>
  <si>
    <t>Environmental Sciences &amp; Ecology; Meteorology &amp; Atmospheric Sciences</t>
  </si>
  <si>
    <t>DC7SO</t>
  </si>
  <si>
    <t>WOS:000369420900015</t>
  </si>
  <si>
    <t>Stöckle, CO; Higgins, S; Nelson, R; Abatzoglou, J; Huggins, D; Pan, W; Karimi, T; Antle, J; Eigenbrode, SD; Brooks, E</t>
  </si>
  <si>
    <t>Stockle, Claudio O.; Higgins, Stewart; Nelson, Roger; Abatzoglou, John; Huggins, Dave; Pan, William; Karimi, Tina; Antle, John; Eigenbrode, Sanford D.; Brooks, Erin</t>
  </si>
  <si>
    <t>Evaluating opportunities for an increased role of winter crops as adaptation to climate change in dryland cropping systems of the US Inland Pacific Northwest</t>
  </si>
  <si>
    <t>CLIMATIC CHANGE</t>
  </si>
  <si>
    <t>Alternative rotations; Crop modeling; Global climate models; Representative concentration pathways</t>
  </si>
  <si>
    <t>ENRICHMENT FACE EXPERIMENT; AIR CO2 ENRICHMENT; CARBON-DIOXIDE; WHEAT; YIELD; PHOTOSYNTHESIS; SIMULATION; STRESS; IMPACT; MODEL</t>
  </si>
  <si>
    <t>The long-term sustainability of wheat-based dryland cropping systems in the Inland Pacific Northwest (IPNW) of the United States depends on how these systems adapt to climate change. Climate models project warming with slight increases in winter precipitation but drier summers for the IPNW. These conditions combined with elevated atmospheric CO2, which promote crop growth and improve transpiration-use efficiency, may be beneficial for cropping systems in the IPNW and may provide regional opportunities for agricultural diversification and intensification. Crop modeling simulation under future climatic conditions showed increased wheat productivity for the IPNW for most of the century. Water use by winter wheat was projected to decrease significantly in higher and intermediate precipitation zones and increase slightly in drier locations, but with winter crops utilizing significantly more water overall than spring crops. Crop diversification with inclusion of winter crops other than wheat is a possibility depending on agronomic and economic considerations, while substitution of winter for spring crops appeared feasible only in high precipitation areas. Increased weed pressure, higher pest populations, expanded ranges of biotic stressors, and agronomic, plant breeding, economic, technology, and other factors will influence what production systems eventually prevail under future climatic conditions in the region.</t>
  </si>
  <si>
    <t>[Stockle, Claudio O.; Higgins, Stewart; Nelson, Roger; Karimi, Tina] Washington State Univ, Dept Biol Syst Engn, Pullman, WA 99164 USA; [Abatzoglou, John] Univ Idaho, Dept Geog, Moscow, ID 83843 USA; [Huggins, Dave] USDA ARS, Northwest Sustainable Agroecosyst Res, Pullman, WA USA; [Pan, William] Washington State Univ, Dept Crop &amp; Soil Sci, Pullman, WA 99164 USA; [Antle, John] Oregon State Univ, Dept Appl Econ, Corvallis, OR 97331 USA; [Eigenbrode, Sanford D.] Univ Idaho, Dept Plant Soil &amp; Entomol Sci, Moscow, ID 83843 USA; [Brooks, Erin] Univ Idaho, Dept Biol Engn, Moscow, ID 83843 USA</t>
  </si>
  <si>
    <t>Washington State University; University of Idaho; United States Department of Agriculture (USDA); Washington State University; Oregon State University; University of Idaho; University of Idaho</t>
  </si>
  <si>
    <t>Stöckle, CO (corresponding author), Washington State Univ, Dept Biol Syst Engn, Pullman, WA 99164 USA.</t>
  </si>
  <si>
    <t>stockle@wsu.edu</t>
  </si>
  <si>
    <t>; Abatzoglou, John/C-7635-2012</t>
  </si>
  <si>
    <t>Eigenbrode, Sanford/0000-0003-0054-8511; Karimi, Tina/0000-0003-2801-8854; Brooks, Erin/0000-0002-6921-4870; Abatzoglou, John/0000-0001-7599-9750</t>
  </si>
  <si>
    <t>United States Department of Agriculture's National Institute of Food and Agriculture [2011-68002-30191]</t>
  </si>
  <si>
    <t>United States Department of Agriculture's National Institute of Food and Agriculture</t>
  </si>
  <si>
    <t>This research was supported by the United States Department of Agriculture's National Institute of Food and Agriculture, Award #2011-68002-30191 for the project, Regional Approaches to Climate Change for Pacific Northwest Agriculture.</t>
  </si>
  <si>
    <t>0165-0009</t>
  </si>
  <si>
    <t>1573-1480</t>
  </si>
  <si>
    <t>Clim. Change</t>
  </si>
  <si>
    <t>10.1007/s10584-017-1950-z</t>
  </si>
  <si>
    <t>FU2VH</t>
  </si>
  <si>
    <t>WOS:000423707600020</t>
  </si>
  <si>
    <t>Rötter, RP; Palosuo, T; Pirttioja, NK; Dubrovsky, M; Salo, T; Fronzek, S; Aikasalo, R; Trnka, M; Ristolainen, A; Carter, TR</t>
  </si>
  <si>
    <t>Rotter, R. P.; Palosuo, T.; Pirttioja, N. K.; Dubrovsky, M.; Salo, T.; Fronzek, S.; Aikasalo, R.; Trnka, M.; Ristolainen, A.; Carter, T. R.</t>
  </si>
  <si>
    <t>What would happen to barley production in Finland if global warming exceeded 4°C? A model-based assessment</t>
  </si>
  <si>
    <t>Barley; Crop growth simulation; Climatic variability; Sensitivity analysis; Plant breeding; Weather generator</t>
  </si>
  <si>
    <t>CLIMATE-CHANGE; CHANGING CLIMATE; CROP PRODUCTION; LAND-USE; YIELD; VARIABILITY; TRENDS; FOOD; CO2; PRECIPITATION</t>
  </si>
  <si>
    <t>In research to date, projected climate change has been considered to be beneficial for agriculture under Nordic conditions, where crop production is mainly limited by low temperatures resulting in short growing seasons. However, with the rapid increases in global mean temperature implied at the high end of the uncertainty range of current projections, which are typically amplified at high latitudes, conditions for crop production could change so dramatically that yields would be reduced, even accounting for the positive effects of CO2 fertilization. In this study, we used the WOFOST crop growth simulation model to examine crop yield responses to a set of plausible scenarios of climate change for Finland up to 2100, including some that exceed 4 degrees C global mean temperature increase relative to pre-industrial. We selected spring barley (Hordeum vulgare L) as an indicator crop and calculated water-limited yields for two Finnish locations, Jokioinen and Jyvaskyla and fora clay and a sandy soil. Scenarios included systematic increases in temperatures, changes in precipitation distribution and altered daily climatic variability using the M&amp;Rfi weather generator. We also examined the effectiveness of a few adaptation options, such as shifts in sowing dates and hypothetical new crop cultivars. Increasing temperature reduced total growth duration and yield considerably, even with adjusted earlier sowing. A reduced number of rainy days had marked negative effects only in combination with increases in temperature of 4 degrees C or greater, leading to distinctly higher yield losses on the sandy soil than on the clay. Prolonged dry spells clearly increased yield variability. For scenarios with temperature increases of +6 degrees C and +7 degrees C, yield losses at Jokioinen were highest; losses at Jyyaskyla were generally less pronounced. Neither CO2 fertilization nor adjusted sowing could compensate the yield losses from temperature changes exceeding +4 degrees C. On clay soils, yield loss could be compensated by new cultivars. For sandy soils even with new cultivars, there would be yield loss at temperature increases exceeding +3 degrees C. It can be concluded that the positive effects of climate warming and elevated CO2 concentrations on cereal production at high latitudes are likely to be reversed at temperature increases exceeding 4 degrees C, with a high risk of marked yield loss. Only plant breeding efforts aimed at increasing yield potential jointly with drought resistance and adjusted agronomic practices, such as sowing, and adequate nitrogen fertilizer management and plant protection, holds a prospect of partly restoring yield levels and reducing the risks of yield shortfall. (C) 2011 Elsevier B.V. All rights reserved.</t>
  </si>
  <si>
    <t>[Rotter, R. P.; Palosuo, T.] MTT Agrifood Res Finland, Plant Prod Res, FI-50100 Mikkeli, Finland; [Pirttioja, N. K.; Fronzek, S.; Carter, T. R.] Finnish Environm Inst SYKE, Climate Change Programme, FI-00251 Helsinki, Finland; [Dubrovsky, M.] Acad Sci Czech Republic, Inst Atmospher Phys, Prague 14131, Czech Republic; [Dubrovsky, M.; Trnka, M.] Mendel Univ Brno, Inst Agr Syst &amp; Bioclimatol, Brno 61300, Czech Republic; [Salo, T.; Ristolainen, A.] MTT Agrifood Res Finland, Plant Prod Res, FI-31600 Jokioinen, Finland; [Aikasalo, R.] Boreal Plant Breeding Ltd, FI-31600 Jokioinen, Finland</t>
  </si>
  <si>
    <t>Natural Resources Institute Finland (Luke); Finnish Environment Institute; Czech Academy of Sciences; Institute of Atmospheric Physics of the Czech Academy of Sciences; Mendel University in Brno; Natural Resources Institute Finland (Luke)</t>
  </si>
  <si>
    <t>Rötter, RP (corresponding author), MTT Agrifood Res Finland, Plant Prod Res, Lonnrotinkatu 5, FI-50100 Mikkeli, Finland.</t>
  </si>
  <si>
    <t>reimund.rotter@mtt.fi; taru.palosuo@mtt.fi; nina.pirttioja@ymparisto.fi; dub@ufa.cas.cz; tapio.salo@mtt.fi; stefan.fronzek@ymparisto.fi; reino.aikasalo@boreal.fi; mirek_trnka@yahoo.com; antti.ristolainen@mtt.fi; tim.carter@ymparisto.fi</t>
  </si>
  <si>
    <t>Fronzek, Stefan/W-5724-2019; Dubrovsky, Martin/G-4526-2014; Salo, Tapio/O-3204-2017; Pirttioja, Nina/AAN-2002-2021; Carter, Timothy/N-4411-2017; Palosuo, Taru/B-9593-2012; Rotter, Reimund P./Y-9579-2019; Trnka, Miroslav/F-9428-2014</t>
  </si>
  <si>
    <t>Salo, Tapio/0000-0002-7820-122X; Palosuo, Taru/0000-0003-4322-3450; Fronzek, Stefan/0000-0003-2478-8050; Pirttioja, Nina/0000-0002-2054-2902; Rotter, Reimund P./0000-0002-3804-9964; Carter, Timothy/0000-0002-4026-8859; Trnka, Miroslav/0000-0003-4727-8379</t>
  </si>
  <si>
    <t>MTT strategic project IAM-Tools (Integrated Assessment Modelling); MAVERIC; Academy of Finland [128043]; Biological and technological aspects of sustainability of controlled ecosystems and their adaptability to climate change [MSM6215648905]; Grant Agency of Academy Sciences of the Czech Republic [IAA300420806]; Academy of Finland (AKA) [128043] Funding Source: Academy of Finland (AKA)</t>
  </si>
  <si>
    <t>MTT strategic project IAM-Tools (Integrated Assessment Modelling); MAVERIC; Academy of Finland(Research Council of Finland); Biological and technological aspects of sustainability of controlled ecosystems and their adaptability to climate change; Grant Agency of Academy Sciences of the Czech Republic(Grant Agency of the Czech Republic); Academy of Finland (AKA)(Research Council of Finland)</t>
  </si>
  <si>
    <t>We thank our colleagues from MTT: Lauri Jauhiainen for extracting barley data from MTT official variety trial database, and Timo Kaukoranta, Kaija Hakala and Pirjo Peltonen-Sainio (MTT Agrifood Research) for provision of materials for barley model calibration and validation. The work was supported by MTT strategic project IAM-Tools (Integrated Assessment Modelling) and MAVERIC funded by Academy of Finland (decision no. 128043). Mirek Trnka's work was funded through Research plan No. MSM6215648905 Biological and technological aspects of sustainability of controlled ecosystems and their adaptability to climate change. Synthetic weather series for changed climate was provided by Martin Dubrovsky within project IAA300420806 funded by the Grant Agency of Academy Sciences of the Czech Republic. The work by SYKE researchers was conducted as part of project MAVERIC. Finally, we thank two anonymous reviewers for their helpful comments.</t>
  </si>
  <si>
    <t>10.1016/j.eja.2011.06.003</t>
  </si>
  <si>
    <t>817FU</t>
  </si>
  <si>
    <t>WOS:000294657500002</t>
  </si>
  <si>
    <t>JIANG, CJ; ZENG, ZB</t>
  </si>
  <si>
    <t>MULTIPLE-TRAIT ANALYSIS OF GENETIC-MAPPING FOR QUANTITATIVE TRAIT LOCI</t>
  </si>
  <si>
    <t>MOLECULAR MARKERS</t>
  </si>
  <si>
    <t>We present in this paper models and statistical methods for performing multiple trait analysis on mapping quantitative trait loci (QTL) based on the composite interval mapping method. By taking into account the correlated structure of multiple traits, this joint analysis has several advantages, compared with separate analyses, for mapping QTL, including the expected improvement on the statistical power of the test for QTL and on the precision of parameter estimation. Also this joint analysis provides formal procedures to test a number of biologically interesting hypotheses concerning the nature of genetic correlations between different traits. Among the testing procedures considered are those for joint mapping, pleiotropy, QTL by environment interaction, and pleiotropy vs. close linkage. The test of pleiotropy (one pleiotropic QTL at a genome position) vs. close linkage (multiple nearby nonpleiotropic QTL) can have important implications for our understanding of the nature of genetic correlations between different traits in certain regions of a genome and also for practical applications in animal and plant breeding because one of the major goals in breeding is to break unfavorable linkage. Results of extensive simulation studies are presented to illustrate various properties of the analyses.</t>
  </si>
  <si>
    <t>N CAROLINA STATE UNIV,DEPT STAT,PROGRAM STAT GENET,RALEIGH,NC 27695; JIANGSU AGR COLL,DEPT AGRON,JIANGSU,PEOPLES R CHINA</t>
  </si>
  <si>
    <t>North Carolina State University; Yangzhou University</t>
  </si>
  <si>
    <t>NIGMS NIH HHS [GM-45344] Funding Source: Medline</t>
  </si>
  <si>
    <t>NIGMS NIH HHS(United States Department of Health &amp; Human ServicesNational Institutes of Health (NIH) - USANIH National Institute of General Medical Sciences (NIGMS))</t>
  </si>
  <si>
    <t>428 EAST PRESTON ST, BALTIMORE, MD 21202</t>
  </si>
  <si>
    <t>RE868</t>
  </si>
  <si>
    <t>WOS:A1995RE86800023</t>
  </si>
  <si>
    <t>Daetwyler, HD; Hayden, MJ; Spangenberg, GC; Hayes, BJ</t>
  </si>
  <si>
    <t>Daetwyler, Hans D.; Hayden, Matthew J.; Spangenberg, German C.; Hayes, Ben J.</t>
  </si>
  <si>
    <t>Selection on Optimal Haploid Value Increases Genetic Gain and Preserves More Genetic Diversity Relative to Genomic Selection</t>
  </si>
  <si>
    <t>genomic selection; haplotype; genetic gain; genetic diversity; doubled haploid; shared data resource; GenPred</t>
  </si>
  <si>
    <t>STRATEGIES; PREDICTION</t>
  </si>
  <si>
    <t>Doubled haploids are routinely created and phenotypically selected in plant breeding programs to accelerate the breeding cycle. Genomic selection, which makes use of both phenotypes and genotypes, has been shown to further improve genetic gain through prediction of performance before or without phenotypic characterization of novel germplasm. Additional opportunities exist to combine genomic prediction methods with the creation of doubled haploids. Here we propose an extension to genomic selection, optimal haploid value (OHV) selection, which predicts the best doubled haploid that can be produced from a segregating plant. This method focuses selection on the haplotype and optimizes the breeding program toward its end goal of generating an elite fixed line. We rigorously tested OHV selection breeding programs, using computer simulation, and show that it results in up to 0.6 standard deviations more genetic gain than genomic selection. At the same time, OHV selection preserved a substantially greater amount of genetic diversity in the population than genomic selection, which is important to achieve long-term genetic gain in breeding populations.</t>
  </si>
  <si>
    <t>[Daetwyler, Hans D.; Hayden, Matthew J.; Spangenberg, German C.; Hayes, Ben J.] DEDJTR, AgriBio, Ctr AgriBiosci, Bundoora, Vic 3083, Australia; [Daetwyler, Hans D.; Hayden, Matthew J.; Spangenberg, German C.; Hayes, Ben J.] La Trobe Univ, Sch Appl Syst Biol, Bundoora, Vic 3086, Australia</t>
  </si>
  <si>
    <t>La Trobe University; La Trobe University</t>
  </si>
  <si>
    <t>Daetwyler, HD (corresponding author), Dept Econ Dev Jobs Transport &amp; Resources, 5 Ring Rd, Bundoora, Vic 3083, Australia.</t>
  </si>
  <si>
    <t>hans.daetwyler@ecodev.vic.gov.au</t>
  </si>
  <si>
    <t>Daetwyler, Hans/H-9775-2019; Hayes, Ben/L-3308-2016</t>
  </si>
  <si>
    <t>Hayden, Matthew/0000-0003-3117-5500; Daetwyler, Hans D/0000-0002-3018-3640; Hayes, Ben/0000-0002-5606-3970</t>
  </si>
  <si>
    <t>10.1534/genetics.115.178038</t>
  </si>
  <si>
    <t>CP5JI</t>
  </si>
  <si>
    <t>WOS:000359917000028</t>
  </si>
  <si>
    <t>Jannink, JL; Lorenz, AJ; Iwata, H</t>
  </si>
  <si>
    <t>Jannink, Jean-Luc; Lorenz, Aaron J.; Iwata, Hiroyoshi</t>
  </si>
  <si>
    <t>Genomic selection in plant breeding: from theory to practice</t>
  </si>
  <si>
    <t>BRIEFINGS IN FUNCTIONAL GENOMICS</t>
  </si>
  <si>
    <t>breeding value prediction; marker-assisted selection; linkage disequilibrium; ridge regression; machine learning</t>
  </si>
  <si>
    <t>MARKER-ASSISTED SELECTION; GENOMEWIDE SELECTION; MOLECULAR MARKERS; RIDGE-REGRESSION; COMPLEX TRAITS; ACCURACY; PREDICTION; ASSOCIATION; POWER; TOOLS</t>
  </si>
  <si>
    <t>We intuitively believe that the dramatic drop in the cost of DNA marker information we have experienced should have immediate benefits in accelerating the delivery of crop varieties with improved yield, quality and biotic and abiotic stress tolerance. But these traits are complex and affected by many genes, each with small effect. Traditional marker-assisted selection has been ineffective for such traits. The introduction of genomic selection (GS), however, has shifted that paradigm. Rather than seeking to identify individual loci significantly associated with a trait, GS uses all marker data as predictors of performance and consequently delivers more accurate predictions. Selection can be based on GS predictions, potentially leading to more rapid and lower cost gains from breeding. The objectives of this article are to review essential aspects of GS and summarize the important take-home messages from recent theoretical, simulation and empirical studies. We then look forward and consider research needs surrounding methodological questions and the implications of GS for long-term selection.</t>
  </si>
  <si>
    <t>[Jannink, Jean-Luc] Cornell Univ, USDA ARS, RW Holley Ctr Agr &amp; Hlth, Ithaca, NY 14853 USA; [Jannink, Jean-Luc] Cornell Univ, Dept Plant Breeding &amp; Genet, Ithaca, NY 14853 USA; [Lorenz, Aaron J.] USDA, Barley Coordinated Agr Project, Washington, DC USA; [Iwata, Hiroyoshi] Natl Agr Res Ctr, Natl Agr &amp; Food Sci Res Org, Tokyo, Japan</t>
  </si>
  <si>
    <t>Cornell University; United States Department of Agriculture (USDA); Cornell University; United States Department of Agriculture (USDA)</t>
  </si>
  <si>
    <t>Jannink, JL (corresponding author), Cornell Univ, USDA ARS, RW Holley Ctr Agr &amp; Hlth, Ithaca, NY 14853 USA.</t>
  </si>
  <si>
    <t>United States Department of Agriculture, National Institute of Food and Agriculture [2009-85606-05701, 200965300-05661]</t>
  </si>
  <si>
    <t>United States Department of Agriculture, National Institute of Food and Agriculture(United States Department of Agriculture (USDA))</t>
  </si>
  <si>
    <t>This work was supported by the United States Department of Agriculture, National Institute of Food and Agriculture (2009-85606-05701, 200965300-05661).</t>
  </si>
  <si>
    <t>2041-2649</t>
  </si>
  <si>
    <t>2041-2657</t>
  </si>
  <si>
    <t>BRIEF FUNCT GENOMICS</t>
  </si>
  <si>
    <t>Brief. Funct. Genomics</t>
  </si>
  <si>
    <t>10.1093/bfgp/elq001</t>
  </si>
  <si>
    <t>577AG</t>
  </si>
  <si>
    <t>WOS:000276191200010</t>
  </si>
  <si>
    <t>Heinemann, AB; de Andrade, CDT; Gomide, RL; Amorim, AD; da Paz, RL</t>
  </si>
  <si>
    <t>Heinemann, Alexandre Bryan; Teixeira de Andrade, Camilo de Lelis; Gomide, Reinaldo Lucio; Amorim, Andre de O.; da Paz, Rosidalva Lopes</t>
  </si>
  <si>
    <t>Water stress pattern for corn (first and second crop) in the Goias State and their consequences for the breeding program</t>
  </si>
  <si>
    <t>Growth model; Zea mays; Brazilian savanna; dry spells; water stress</t>
  </si>
  <si>
    <t>AFFECTING GRAIN-SORGHUM; ENVIRONMENT; SELECTION; GENOTYPE</t>
  </si>
  <si>
    <t>Water stress is a major constraint to crop production and yield stability in many regions of the world. The cultivation of corn (Zea mays L.) in the Brazilian State of Goias, is frequent affected by periods of water stress resulting in yield reduction. During the process of developing new hybrids and cultivated varieties, new genotypes are selected based on their adaptability for a certain environment. In this context, plant breeding programs demand for information regarding as a function of the crop phenological phases. A crop simulation model was used to determine patterns of water stress for 12 locations of the State of Goias and 6 different sowing for both, first and second corn harvest periods. For the first harvest period, yield loss due to water stress was lower than 50%, with higher effects on yield in the beginning of the reproductive period. For corn as a second crop, yield loss is higher than 50% with frequent occurrence of terminal stress, which presented higher intensity during the stage of grain filling.</t>
  </si>
  <si>
    <t>[Heinemann, Alexandre Bryan] Embrapa Arroz &amp; Feijao CNPAF, BR-75375000 Santo Antonio De Goias, Go, Brazil; [Teixeira de Andrade, Camilo de Lelis] Embrapa Milho &amp; Sorgo, Nucleo Solo Agua &amp; Sustentabilidade Ambiental NSA, BR-35701970 Sete Lagoas, MG, Brazil; [Gomide, Reinaldo Lucio] Embrapa CNPMS, Embrapa Milho &amp; Sorgo, BR-35701970 Sete Lagoas, MG, Brazil; [Amorim, Andre de O.; da Paz, Rosidalva Lopes] Secretaria Estado Ciencia &amp; Tecnol SECTEC, Sistema Meteorol &amp; Hidrol Estado Goias SIMEHGO, BR-74088900 Goiania, Go, Brazil</t>
  </si>
  <si>
    <t>Empresa Brasileira de Pesquisa Agropecuaria (EMBRAPA); Empresa Brasileira de Pesquisa Agropecuaria (EMBRAPA); Empresa Brasileira de Pesquisa Agropecuaria (EMBRAPA)</t>
  </si>
  <si>
    <t>Heinemann, AB (corresponding author), Embrapa Arroz &amp; Feijao CNPAF, Rod GO-462,Km 12, BR-75375000 Santo Antonio De Goias, Go, Brazil.</t>
  </si>
  <si>
    <t>alexbh@cnpaf.embrapa.br; camilo@cnpms.embrapa.br; gomide@cnpms.embrapa.br; amorim_go@yahoo.com.br; dalvapaz@yahoo.com.br</t>
  </si>
  <si>
    <t>10.1590/S1413-70542009000400012</t>
  </si>
  <si>
    <t>498PQ</t>
  </si>
  <si>
    <t>WOS:000270154700012</t>
  </si>
  <si>
    <t>Palomino, EC; Ramalho, MAP; Ferreira, DF</t>
  </si>
  <si>
    <t>Sample size for half-sib family evaluation in maize</t>
  </si>
  <si>
    <t>plant breeding; plots; genetic gain; genetic parameters; phenotypes; selection</t>
  </si>
  <si>
    <t>CONFIDENCE-INTERVALS; COEFFICIENT; PROGENIES</t>
  </si>
  <si>
    <t>This work had the aim to verify the effect of the number of plants per plot in the evaluation of half-sib families. For that, 25 half-sib families of CMS-39 were evaluated with the experimental design being a simple lattice, 5 x 5, with two replications. Each plot was constituted by three lines with 10 m of length. Each plot was subdivided in sub-plots with five plants, being discarded extremities. Associating the contiguous sub-plots it was possible to simulate 270 variance analyses, with the number of plants per plot varying from 5 to 135. Genetic and phenotypic parameters were estimated with their respective errors. Expected selection response yield was also simulated for each sample size. In this simulation, it was verified that the number of plants per plot affected experimental precision. As larger was the number of plants, more accurate were the experiments; plots with the same number of plants, even so distributed in two or three lines, provide greater experimental precision. The selection expected response decreases with the increase in the number of plants per plot.</t>
  </si>
  <si>
    <t>Univ Fed Lavras, Dept Biol, BR-37200000 Lavras, MG, Brazil</t>
  </si>
  <si>
    <t>Univ Fed Lavras, Dept Biol, Caixa Postal 37, BR-37200000 Lavras, MG, Brazil.</t>
  </si>
  <si>
    <t>magnoapr@ufla.br; danielff@ufla.br</t>
  </si>
  <si>
    <t>Furtado Ferreira, Daniel/S-6342-2019</t>
  </si>
  <si>
    <t>Furtado Ferreira, Daniel/0000-0002-4371-5239</t>
  </si>
  <si>
    <t>10.1590/S0100-204X2000000700018</t>
  </si>
  <si>
    <t>354QM</t>
  </si>
  <si>
    <t>WOS:000089341200018</t>
  </si>
  <si>
    <t>Yu, Y; Cheng, Q; Wang, F; Zhu, YL; Shang, XG; Jones, A; He, HH; Song, YH</t>
  </si>
  <si>
    <t>Yu, Yi; Cheng, Qin; Wang, Fei; Zhu, Yulei; Shang, Xiaoguang; Jones, Ashley; He, Haohua; Song, Youhong</t>
  </si>
  <si>
    <t>Crop/Plant Modeling Supports Plant Breeding: I. Optimization of Environmental Factors in Accelerating Crop Growth and Development for Speed Breeding</t>
  </si>
  <si>
    <t>PLANT PHENOMICS</t>
  </si>
  <si>
    <t>SIMULATION-MODELS; CLIMATE-CHANGE; MAIZE YIELD; CO2 CONCENTRATION; CARBON-DIOXIDE; WHEAT YIELD; PHOTOSYNTHESIS; LIGHT; PRODUCTIVITY; IMPACT</t>
  </si>
  <si>
    <t>The environmental conditions in customered speed breeding practice are, to some extent, empirical and, thus, can be further optimized. Crop and plant models have been developed as powerful tools in predicting growth and development under various environments for extensive crop species. To improve speed breeding, crop models can be used to predict the phenotypes resulted from genotype by environment by management at the population level, while plant models can be used to examine 3-dimensional plant architectural development by microenvironments at the organ level. By justifying the simulations via numerous virtual trials using models in testing genotype x environment x management, an optimized combination of environmental factors in achieving desired plant phenotypes can be quickly determined. Artificial intelligence in assisting for optimization is also discussed. We admit that the appropriate modifications on modeling algorithms or adding new modules may be necessary in optimizing speed breeding for specific uses. Overall, this review demonstrates that crop and plant models are promising tools in providing the optimized combinations of environment factors in advancing crop growth and development for speed breeding.</t>
  </si>
  <si>
    <t>[Yu, Yi; Wang, Fei; Zhu, Yulei; Song, Youhong] Anhui Agr Univ, Sch Agron, Hefei 230036, Anhui Province, Peoples R China; [Cheng, Qin; He, Haohua] Jiangxi Agr Univ, Sch Agr Sci, Nanchang 330045, Anhui Province, Peoples R China; [Shang, Xiaoguang] Nanjing Agr Univ, State Key Lab Crop Genet &amp; Germplasm Enhancement &amp;, Nanjing 210095, Jiangsu Provinc, Peoples R China; [Jones, Ashley] Australian Natl Univ, Res Sch Biol, Canberra, ACT 2601, Australia; [Song, Youhong] Univ Queensland, Ctr Crop Sci, Queensland Alliance Agr &amp; Food Innovat, Brisbane, Qld, Australia</t>
  </si>
  <si>
    <t>Anhui Agricultural University; Jiangxi Agricultural University; Nanjing Agricultural University; Australian National University; University of Queensland</t>
  </si>
  <si>
    <t>Song, YH (corresponding author), Anhui Agr Univ, Sch Agron, Hefei 230036, Anhui Province, Peoples R China.;He, HH (corresponding author), Jiangxi Agr Univ, Sch Agr Sci, Nanchang 330045, Anhui Province, Peoples R China.;Song, YH (corresponding author), Univ Queensland, Ctr Crop Sci, Queensland Alliance Agr &amp; Food Innovat, Brisbane, Qld, Australia.</t>
  </si>
  <si>
    <t>hhhua64@163.com; uqysong@163.com</t>
  </si>
  <si>
    <t>Shang, Xiaoguang/AAT-7979-2021; yu, yi/GZK-5224-2022</t>
  </si>
  <si>
    <t>Shang, Xiaoguang/0000-0001-9664-0130; Jones, Ashley/0000-0002-7368-1666; yu, yi/0009-0007-6283-4392</t>
  </si>
  <si>
    <t>Anhui Natural Science Foundation [2208085MC59]; China National Key Research and Development Program [2017YFD0301307, rc312212]</t>
  </si>
  <si>
    <t>Anhui Natural Science Foundation(Natural Science Foundation of Anhui Province); China National Key Research and Development Program(National Key Research &amp; Development Program of China)</t>
  </si>
  <si>
    <t>Acknowledgments Funding: The work was supported by a grant from the Anhui Natural Science Foundation (2208085MC59) and China National Key Research and Development Program (2017YFD0301307) for Y.S. and Uni grant no. rc312212. Author contributions: Y.S.</t>
  </si>
  <si>
    <t>AMER ASSOC ADVANCEMENT SCIENCE</t>
  </si>
  <si>
    <t>WASHINGTON</t>
  </si>
  <si>
    <t>1200 NEW YORK AVE, NW, WASHINGTON, DC 20005 USA</t>
  </si>
  <si>
    <t>2643-6515</t>
  </si>
  <si>
    <t>Plant Phenomics</t>
  </si>
  <si>
    <t>OCT 9</t>
  </si>
  <si>
    <t>10.34133/plantphenomics.0099</t>
  </si>
  <si>
    <t>Agriculture; Plant Sciences; Remote Sensing</t>
  </si>
  <si>
    <t>CC7C6</t>
  </si>
  <si>
    <t>WOS:001123106500002</t>
  </si>
  <si>
    <t>Muranty, H; Jorge, V; Bastien, C; Lepoittevin, C; Bouffier, L; Sanchez, L</t>
  </si>
  <si>
    <t>Muranty, H.; Jorge, V.; Bastien, C.; Lepoittevin, C.; Bouffier, L.; Sanchez, L.</t>
  </si>
  <si>
    <t>Potential for marker-assisted selection for forest tree breeding: lessons from 20 years of MAS in crops</t>
  </si>
  <si>
    <t>TREE GENETICS &amp; GENOMES</t>
  </si>
  <si>
    <t>Molecular markers; QTL; Genomic selection; Breeding strategies; Genetic diversity management</t>
  </si>
  <si>
    <t>QUANTITATIVE TRAIT LOCI; BACTERIAL-BLIGHT RESISTANCE; MICROSATELLITE CONSENSUS MAP; GENETIC-LINKAGE MAP; PINUS-TAEDA L.; GENOMIC SELECTION; MOLECULAR MARKERS; COMPLEX TRAITS; ASSOCIATION GENETICS; QUALITY TRAITS</t>
  </si>
  <si>
    <t>For the most part, molecular markers and detection of quantitative trait loci have been developed for forest tree species in view to performing marker-assisted selection (MAS). However, MAS has not been applied to forest trees until now. In parallel, some success stories of MAS in crop breeding have been reported. Recently, genotyping techniques have undergone a tremendous increase in throughput, moving the trend from MAS to genomic selection. We analyzed 250 papers reporting the use of MAS in plant breeding and found that the most popular schemes used were gene pyramiding and marker-assisted backcross manipulating a single or very few genomic regions which have a major impact on crop value. We reviewed theoretical and simulation studies to identify the parametric space in which MAS is expected to bring about significant advantages over phenotypic selection. Then, we tried to explain why MAS has not been applied to forest trees and discuss the opportunities offered by recent advances in these species.</t>
  </si>
  <si>
    <t>[Muranty, H.; Jorge, V.; Bastien, C.; Sanchez, L.] INRA, Ameliorat Genet &amp; Physiol Forestieres AGPF UR0588, F-45075 Orleans, France; [Lepoittevin, C.; Bouffier, L.] INRA, BIOGECO UMR1202, F-33610 Cestas, France; [Lepoittevin, C.; Bouffier, L.] Univ Bordeaux, BIOGECO, UMR1202, F-33400 Talence, France</t>
  </si>
  <si>
    <t>INRAE; INRAE; Universite de Bordeaux</t>
  </si>
  <si>
    <t>Muranty, H (corresponding author), INRA, Inst Rech Horticulture &amp; Semences UMR1345, F-49071 Beaucouze, France.</t>
  </si>
  <si>
    <t>Helene.Muranty@angers.inra.fr</t>
  </si>
  <si>
    <t>Muranty, Helene/AAE-5877-2019; BASTIEN, Catherine/GWQ-2951-2022; Jorge, Véronique/V-4165-2019</t>
  </si>
  <si>
    <t>Lepoittevin, Camille/0000-0002-1270-9629; MURANTY, Helene/0000-0003-3956-3807</t>
  </si>
  <si>
    <t>European Community [211868]</t>
  </si>
  <si>
    <t>European Community</t>
  </si>
  <si>
    <t>This work was funded by the European Community's Seventh Framework Programme (FP7/2007-2013) under grant agreement no. 211868 (Project Noveltree).</t>
  </si>
  <si>
    <t>1614-2942</t>
  </si>
  <si>
    <t>1614-2950</t>
  </si>
  <si>
    <t>TREE GENET GENOMES</t>
  </si>
  <si>
    <t>Tree Genet. Genomes</t>
  </si>
  <si>
    <t>10.1007/s11295-014-0790-5</t>
  </si>
  <si>
    <t>Forestry; Genetics &amp; Heredity; Agriculture</t>
  </si>
  <si>
    <t>AR9UR</t>
  </si>
  <si>
    <t>WOS:000343924600001</t>
  </si>
  <si>
    <t>Estaghvirou, SBO; Ogutu, JO; Schulz-Streeck, T; Knaak, C; Ouzunova, M; Gordillo, A; Piepho, HP</t>
  </si>
  <si>
    <t>Estaghvirou, Sidi Boubacar Ould; Ogutu, Joseph O.; Schulz-Streeck, Torben; Knaak, Carsten; Ouzunova, Milena; Gordillo, Andres; Piepho, Hans-Peter</t>
  </si>
  <si>
    <t>Evaluation of approaches for estimating the accuracy of genomic prediction in plant breeding</t>
  </si>
  <si>
    <t>Genomic selection; Ridge-regression BLUP; Predictive accuracy; Predictive ability; Heritability; SNP markers; Zea mays; Cross-validation; Plant breeding</t>
  </si>
  <si>
    <t>GENOMEWIDE SELECTION; HERITABILITY; MODEL</t>
  </si>
  <si>
    <t>Background: In genomic prediction, an important measure of accuracy is the correlation between the predicted and the true breeding values. Direct computation of this quantity for real datasets is not possible, because the true breeding value is unknown. Instead, the correlation between the predicted breeding values and the observed phenotypic values, called predictive ability, is often computed. In order to indirectly estimate predictive accuracy, this latter correlation is usually divided by an estimate of the square root of heritability. In this study we use simulation to evaluate estimates of predictive accuracy for seven methods, four (1 to 4) of which use an estimate of heritability to divide predictive ability computed by cross-validation. Between them the seven methods cover balanced and unbalanced datasets as well as correlated and uncorrelated genotypes. We propose one new indirect method (4) and two direct methods (5 and 6) for estimating predictive accuracy and compare their performances and those of four other existing approaches (three indirect (1 to 3) and one direct (7)) with simulated true predictive accuracy as the benchmark and with each other. Results: The size of the estimated genetic variance and hence heritability exerted the strongest influence on the variation in the estimated predictive accuracy. Increasing the number of genotypes considerably increases the time required to compute predictive accuracy by all the seven methods, most notably for the five methods that require cross-validation (Methods 1, 2, 3, 4 and 6). A new method that we propose (Method 5) and an existing method (Method 7) used in animal breeding programs were the fastest and gave the least biased, most precise and stable estimates of predictive accuracy. Of the methods that use cross-validation Methods 4 and 6 were often the best. Conclusions: The estimated genetic variance and the number of genotypes had the greatest influence on predictive accuracy. Methods 5 and 7 were the fastest and produced the least biased, the most precise, robust and stable estimates of predictive accuracy. These properties argue for routinely using Methods 5 and 7 to assess predictive accuracy in genomic selection studies.</t>
  </si>
  <si>
    <t>[Estaghvirou, Sidi Boubacar Ould; Ogutu, Joseph O.; Schulz-Streeck, Torben; Piepho, Hans-Peter] Univ Hohenheim, Inst Crop Sci, Bioinformat Unit, D-70599 Stuttgart, Germany; [Schulz-Streeck, Torben; Knaak, Carsten; Ouzunova, Milena] KWS SAAT AG, D-373555 Einbeck, Germany; [Gordillo, Andres] KWS Lochow GMBH, D-29303 Bergen, Germany</t>
  </si>
  <si>
    <t>University Hohenheim; KWS Saat AG; KWS Saat AG</t>
  </si>
  <si>
    <t>Ogutu, JO (corresponding author), Univ Hohenheim, Inst Crop Sci, Bioinformat Unit, Fruwirthstr 23, D-70599 Stuttgart, Germany.</t>
  </si>
  <si>
    <t>Ogutu, Joseph O/0000-0002-7379-0387; Piepho, Hans-Peter/0000-0001-7813-2992</t>
  </si>
  <si>
    <t>KWS SAAT AG; AgReliant Genetics; German Federal Ministry of Education and Research (Bonn, Germany) within the AgroClusterEr Synbreed-Synergistic plant and animal breeding [0315526]</t>
  </si>
  <si>
    <t>KWS SAAT AG; AgReliant Genetics; German Federal Ministry of Education and Research (Bonn, Germany) within the AgroClusterEr Synbreed-Synergistic plant and animal breeding</t>
  </si>
  <si>
    <t>We thank AgReliant and KWS for providing the datasets used in this study. We are grateful to two anonymous reviewers for suggestions that helped improve an earlier draft of this paper. This research was funded by KWS SAAT AG, AgReliant Genetics and the German Federal Ministry of Education and Research (Bonn, Germany) within the AgroClusterEr Synbreed-Synergistic plant and animal breeding (Grant ID: 0315526).</t>
  </si>
  <si>
    <t>DEC 6</t>
  </si>
  <si>
    <t>10.1186/1471-2164-14-860</t>
  </si>
  <si>
    <t>284ZT</t>
  </si>
  <si>
    <t>WOS:000329362600001</t>
  </si>
  <si>
    <t>Gorjanc, G; Dumasy, JF; Gonen, S; Gaynor, RC; Antolin, R; Hickey, JM</t>
  </si>
  <si>
    <t>Gorjanc, Gregor; Dumasy, Jean-Francois; Gonen, Serap; Gaynor, R. Chris; Antolin, Roberto; Hickey, John M.</t>
  </si>
  <si>
    <t>Potential of Low-Coverage Genotyping-by-Sequencing and Imputation for Cost-Effective Genomic Selection in Biparental Segregating Populations</t>
  </si>
  <si>
    <t>BREEDING POPULATIONS; PREDICTION; INFORMATION; SIMULATION; DISCOVERY; DENSITY; MARKERS; IMPACT</t>
  </si>
  <si>
    <t>Genotyping-by-sequencing (GBS) is an alternative genotyping method to single-nucleotide polymorphism (SNP) arrays that has received considerable attention in the plant breeding community. In this study we use simulation to quantify the potential of low-coverage GBS and imputation for cost-effective genomic selection in biparental segregating populations. The simulations comprised a range of scenarios where SNP array or GBS data were used to train the genomic selection model, to predict breeding values, or both. The GBS data were generated with sequencing coverages (x) from 4x to 0.01x. The data were used either nonimputed or imputed by the AlphaImpute program. The size of the training and prediction sets was either held fixed or was increased by reducing sequencing coverage per individual. The results show that nonimputed 1x GBS data provided comparable prediction accuracy and bias, and for the used measurement of return on investment, outperformed the SNP array data. Imputation allowed for further reduction in sequencing coverage, to as low as 0.1x with 10,000 markers or 0.01x with 100,000 markers. The results suggest that using such data in biparental families gave up to 5.63 times higher return on investment than using the SNP array data. Reduction of sequencing coverage per individual and imputation can be leveraged to genotype larger training sets to increase prediction accuracy and larger prediction sets to increase selection intensity, which both allow for higher response to selection and higher return on investment.</t>
  </si>
  <si>
    <t>[Gorjanc, Gregor; Dumasy, Jean-Francois; Gonen, Serap; Gaynor, R. Chris; Antolin, Roberto; Hickey, John M.] Univ Edinburgh, Easter Bush Res Ctr, Roslin Inst, Roslin EH25 9RG, Midlothian, Scotland; [Gorjanc, Gregor; Dumasy, Jean-Francois; Gonen, Serap; Gaynor, R. Chris; Antolin, Roberto; Hickey, John M.] Univ Edinburgh, Easter Bush Res Ctr, Royal Dick Sch Vet Studies, Roslin EH25 9RG, Midlothian, Scotland</t>
  </si>
  <si>
    <t>Gorjanc, G (corresponding author), Univ Edinburgh, Easter Bush Res Ctr, Roslin Inst, Roslin EH25 9RG, Midlothian, Scotland.;Gorjanc, G (corresponding author), Univ Edinburgh, Easter Bush Res Ctr, Royal Dick Sch Vet Studies, Roslin EH25 9RG, Midlothian, Scotland.</t>
  </si>
  <si>
    <t>Gorjanc, Gregor/0000-0001-8008-2787</t>
  </si>
  <si>
    <t>BBSRC ISPG [BB/J004235/1]; Genus PLC; Medical Research Council (MRC) [MR/M000370/1]; [BB/M009254/1]; [BB/ L020726/1]; [BB/N004736/1]; [BB/N004728/1]; [BB/L020467/1]; [BB/N006178/1]; BBSRC [BB/N006178/1, BB/L020467/1, BB/M009254/1, BB/L020726/1, BB/R002061/1] Funding Source: UKRI; MRC [MR/M000370/1] Funding Source: UKRI</t>
  </si>
  <si>
    <t>BBSRC ISPG(UK Research &amp; Innovation (UKRI)Biotechnology and Biological Sciences Research Council (BBSRC)); Genus PLC; Medical Research Council (MRC)(UK Research &amp; Innovation (UKRI)Medical Research Council UK (MRC)); ; ; ; ; ; ; BBSRC(UK Research &amp; Innovation (UKRI)Biotechnology and Biological Sciences Research Council (BBSRC)); MRC(UK Research &amp; Innovation (UKRI)Medical Research Council UK (MRC))</t>
  </si>
  <si>
    <t>The authors acknowledge the financial support from the BBSRC ISPG to The Roslin InstituteBB/J004235/1, from Genus PLC and from grant numbers BB/M009254/1, BB/ L020726/1, BB/N004736/1, BB/N004728/1, BB/L020467/1, and BB/N006178/1, and from Medical Research Council (MRC) grant number MR/M000370/1. The authors thank Dr. Andrew Derrington (Scotland, UK) for assistance in refining the manuscript. This work has made use of the resources provided by the Edinburgh Compute and Data Facility (ECDF) (http://www.ecdf.ed.ac.uk/).</t>
  </si>
  <si>
    <t>10.2135/cropsci2016.08.0675</t>
  </si>
  <si>
    <t>EZ1PO</t>
  </si>
  <si>
    <t>Green Published, hybrid, Green Submitted</t>
  </si>
  <si>
    <t>WOS:000404483500031</t>
  </si>
  <si>
    <t>Charmet, G; Storlie, E; Oury, FX; Laurent, V; Beghin, D; Chevarin, L; Lapierre, A; Perretant, MR; Rolland, B; Heumez, E; Duchalais, L; Goudemand, E; Bordes, J; Robert, O</t>
  </si>
  <si>
    <t>Charmet, Gilles; Storlie, Eric; Oury, Francois Xavier; Laurent, Valerie; Beghin, Denis; Chevarin, Laetitia; Lapierre, Annie; Perretant, Marie Reine; Rolland, Bernard; Heumez, Emmanuel; Duchalais, Laure; Goudemand, Ellen; Bordes, Jacques; Robert, Olivier</t>
  </si>
  <si>
    <t>Genome-wide prediction of three important traits in bread wheat</t>
  </si>
  <si>
    <t>Genomic selection; Triticum aestivum L.; Ridge regression; Bayesian LASSO; Random Forest regression; Plant breeding</t>
  </si>
  <si>
    <t>MARKER-ASSISTED SELECTION; HEAD BLIGHT RESISTANCE; QUANTITATIVE TRAITS; MOLECULAR MARKERS; EFFICIENCY; POPULATIONS; REGRESSION; SIMULATION; ACCURACY; PEDIGREE</t>
  </si>
  <si>
    <t>Five genomic prediction models were applied to three wheat agronomic traits-grain yield, heading date and grain test weight-in three breeding populations, each comprising about 350 doubled haploid or recombinant inbred lines evaluated in three locations during a 3-year period. The prediction accuracy, measured as the correlation between genomic estimated breeding value and observed trait, was in the range of previously published values for yield (r = 0.2-0.5), a trait with relatively low heritability. Accuracies for heading date and test weight, with relatively high heritabilities, were about 0.70. There was no improvement of prediction accuracy when two or three breeding populations were merged into one for a larger training set (e.g., for yield r ranged between 0.11 and 0.40 in the respective populations and between 0.18 and 0.35 in the merged populations). Cross-population prediction, when one population was used as the training population set and another population was used as the validation set, resulted in no prediction accuracy. This lack of cross-population prediction accuracy cannot be explained by a lower level of relatedness between populations, as measured by a shared SNP similarity, since it was only slightly lower between than within populations. Simulation studies confirm that cross-prediction accuracy decreases as the proportion of shared QTLs decreases, which can be expected from a higher level of QTL x environment interactions.</t>
  </si>
  <si>
    <t>[Charmet, Gilles; Storlie, Eric; Oury, Francois Xavier; Chevarin, Laetitia; Lapierre, Annie; Perretant, Marie Reine; Bordes, Jacques] Univ Clermont II, INRA, GDEC, UMR, F-63039 Clermont Ferrand, France; [Storlie, Eric] Colorado State Univ, Ft Collins, CO 80523 USA; [Laurent, Valerie; Beghin, Denis; Goudemand, Ellen; Robert, Olivier] Bioplante Florimond Desprez, F-59242 Cappelle En Pevele, France; [Rolland, Bernard] INRA APBV, Domaine Motte, F-35653 Le Rheu, France; [Heumez, Emmanuel] INRA UE Lille, F-80203 Peronne, France; [Duchalais, Laure] Bioplante R2n, F-59930 La Chapelle Darmentieres, France</t>
  </si>
  <si>
    <t>INRAE; Universite Clermont Auvergne (UCA); Colorado State University System; Colorado State University Fort Collins; INRAE; INRAE</t>
  </si>
  <si>
    <t>Charmet, G (corresponding author), Univ Clermont II, INRA, GDEC, UMR, 5 Chemin Beaulieu, F-63039 Clermont Ferrand, France.</t>
  </si>
  <si>
    <t>gilles.charmet@clermont.inra.fr</t>
  </si>
  <si>
    <t>FSOV (Funds de Soutien a l'Obtention Vegetale) [FSOV2008A]</t>
  </si>
  <si>
    <t>FSOV (Funds de Soutien a l'Obtention Vegetale)</t>
  </si>
  <si>
    <t>This project was funded by the FSOV (Funds de Soutien a l'Obtention Vegetale) under grant FSOV2008A. The excellent work in experimental units by INRA (Clermont-Ferrand, Estrees-Mons and Rennes) and Bioplante is also gratefully acknowledged.</t>
  </si>
  <si>
    <t>10.1007/s11032-014-0143-y</t>
  </si>
  <si>
    <t>AW0GU</t>
  </si>
  <si>
    <t>WOS:000345970200024</t>
  </si>
  <si>
    <t>Chiang, KS; Liu, HI; Chen, YL; El Jarroudi, M; Bock, CH</t>
  </si>
  <si>
    <t>Chiang, K. S.; Liu, H., I; Chen, Y. L.; El Jarroudi, M.; Bock, C. H.</t>
  </si>
  <si>
    <t>Quantitative Ordinal Scale Estimates of Plant Disease Severity: Comparing Treatments Using a Proportional Odds Model</t>
  </si>
  <si>
    <t>PHYTOPATHOLOGY</t>
  </si>
  <si>
    <t>ecology and epidemiology; disease control and pest management</t>
  </si>
  <si>
    <t>HORSFALL-BARRATT SCALE; CITRUS CANKER; VISUAL ESTIMATION; IMAGE-ANALYSIS; LATE BLIGHT; LEAF-SPOT; ACCURACY; RELIABILITY; REGRESSION; SYMPTOMS</t>
  </si>
  <si>
    <t>Studies in plant pathology, agronomy, and plant breeding requiring disease severity assessment often use quantitative ordinal scales (i.e., a special type of ordinal scale that uses defined numeric ranges); a frequently used example of such a scale is the Horsfall-Barratt scale. Parametric proportional odds models (POMs) may be used to analyze the ratings obtained from quantitative ordinal scales directly, without converting ratings to percent area affected using range midpoints of such scales (currently a standard procedure). Our aim was to evaluate the performance of the POM for comparing treatments using ordinal estimates of disease severity relative to two alternatives, the midpoint conversions (MCs) and nearest percent estimates (NPEs). A simulation method was implemented and the parameters of the simulation estimated using actual disease severity data from the field. The criterion for comparison of the three approaches was the power of the hypothesis test (the probability to reject the null hypothesis when it is false). Most often, NPEs had superior performance. The performance of the POM was never inferior to using the MC at severity &lt;40%. Especially at low disease severity (&lt;= 10%), the POM was superior to using the MC method. Thus, for early onset of disease or for comparing treatments with severities &lt;40%, the POM is preferable for analyzing disease severity data based on quantitative ordinal scales when comparing treatments and at severities &gt;40% is equivalent to other methods.</t>
  </si>
  <si>
    <t>[Chiang, K. S.; Liu, H., I; Chen, Y. L.] Natl Chung Hsing Univ, Dept Agron, Div Biometr, Taichung, Taiwan; [El Jarroudi, M.] Univ Liege, Dept Environm Sci &amp; Management, B-6700 Arlon, Belgium; [Bock, C. H.] USDA ARS, Southeastern Fruit &amp; Tree Nut Res Lab, Byron, GA 31008 USA</t>
  </si>
  <si>
    <t>National Chung Hsing University; University of Liege; United States Department of Agriculture (USDA)</t>
  </si>
  <si>
    <t>Bock, CH (corresponding author), USDA ARS, Southeastern Fruit &amp; Tree Nut Res Lab, Byron, GA 31008 USA.</t>
  </si>
  <si>
    <t>clive.bock@usda.gov</t>
  </si>
  <si>
    <t>Chiang, Kuo-Szu/0000-0002-7545-1469; Bock, Clive/0000-0003-1163-268X</t>
  </si>
  <si>
    <t>Ministry of Science and Technology of Taiwan, Republic of China [MOST 107-2313-B-005-031]; U.S. Department of Agriculture Agricultural Research Service [6606-21220-011-00D]</t>
  </si>
  <si>
    <t>Ministry of Science and Technology of Taiwan, Republic of China; U.S. Department of Agriculture Agricultural Research Service(United States Department of Agriculture (USDA)USDA Agricultural Research Service)</t>
  </si>
  <si>
    <t>This research was supported by the Ministry of Science and Technology of Taiwan, Republic of China (grant MOST 107-2313-B-005-031 to K. S. Chiang) and the U.S. Department of Agriculture Agricultural Research Service (project 6606-21220-011-00D to C. H. Bock).</t>
  </si>
  <si>
    <t>AMER PHYTOPATHOLOGICAL SOC</t>
  </si>
  <si>
    <t>ST PAUL</t>
  </si>
  <si>
    <t>3340 PILOT KNOB ROAD, ST PAUL, MN 55121 USA</t>
  </si>
  <si>
    <t>0031-949X</t>
  </si>
  <si>
    <t>1943-7684</t>
  </si>
  <si>
    <t>Phytopathology</t>
  </si>
  <si>
    <t>10.1094/PHYTO-10-18-0372-R</t>
  </si>
  <si>
    <t>OS2GW</t>
  </si>
  <si>
    <t>WOS:000589985600004</t>
  </si>
  <si>
    <t>Xu, Y; Xu, C; Xu, S</t>
  </si>
  <si>
    <t>Xu, Y.; Xu, C.; Xu, S.</t>
  </si>
  <si>
    <t>Prediction and association mapping of agronomic traits in maize using multiple omic data</t>
  </si>
  <si>
    <t>LEAST-SQUARES REGRESSION; GENOME-WIDE ASSOCIATION; QUANTITATIVE RESISTANCE; HYBRID PERFORMANCE; CROSS-VALIDATION; BAYESIAN LASSO; GENETIC VALUE; SELECTION; PLANT; ARCHITECTURE</t>
  </si>
  <si>
    <t>Genomic selection holds a great promise to accelerate plant breeding via early selection before phenotypes are measured, and it offers major advantages over marker-assisted selection for highly polygenic traits. In addition to genomic data, metabolome and transcriptome are increasingly receiving attention as new data sources for phenotype prediction. We used data available from maize as a model to compare the predictive abilities of three different omic data sources using eight representative methods for six traits. We found that the best linear unbiased prediction overall performs better than other methods across different traits and different omic data, and genomic prediction performs better than transcriptomic and metabolomic predictions. For the same maize data, we also conducted genome-wide association study, transcriptome-wide association studies and metabolome-wide association studies for the six agronomic traits using both the genome-wide efficient mixed model association (GEMMA) method and a modified least absolute shrinkage and selection operator (LASSO) method. The new LASSO method has the ability to perform statistical tests. Simulation studies show that the modified LASSO performs better than GEMMA in terms of high power and low Type 1 error.</t>
  </si>
  <si>
    <t>[Xu, Y.; Xu, S.] Univ Calif Riverside, Dept Bot &amp; Plant Sci, Riverside, CA 92521 USA; [Xu, Y.; Xu, C.] Yangzhou Univ, Coinnovat Ctr Modern Prod Technol Grain Crops, Jiangsu Prov Key Lab Crop Genet &amp; Physiol, Key Lab Plant Funct Genom,Minist Educ, Yangzhou 225009, Jiangsu, Peoples R China</t>
  </si>
  <si>
    <t>University of California System; University of California Riverside; Yangzhou University</t>
  </si>
  <si>
    <t>Xu, S (corresponding author), Univ Calif Riverside, Dept Bot &amp; Plant Sci, Riverside, CA 92521 USA.;Xu, C (corresponding author), Yangzhou Univ, Coinnovat Ctr Modern Prod Technol Grain Crops, Jiangsu Prov Key Lab Crop Genet &amp; Physiol, Key Lab Plant Funct Genom,Minist Educ, Yangzhou 225009, Jiangsu, Peoples R China.</t>
  </si>
  <si>
    <t>cwxu@yzu.edu.cn; shizhong.xu@ucr.edu</t>
  </si>
  <si>
    <t>Xu, Chao/I-2589-2013</t>
  </si>
  <si>
    <t>Xu, Yang/0000-0002-6493-4916</t>
  </si>
  <si>
    <t>National Science Foundation [473 DBI-1458515]; MOST [2016YFD0100303]; National Natural Science Foundation of China [91535103]</t>
  </si>
  <si>
    <t>National Science Foundation(National Science Foundation (NSF)); MOST; National Natural Science Foundation of China(National Natural Science Foundation of China (NSFC))</t>
  </si>
  <si>
    <t>The project was supported by the National Science Foundation Collaborative Research Grant 473 DBI-1458515 to SX, National Key Technology Research and Development Program of MOST (2016YFD0100303) and National Natural Science Foundation (91535103) of China to CX.</t>
  </si>
  <si>
    <t>10.1038/hdy.2017.27</t>
  </si>
  <si>
    <t>FD2JV</t>
  </si>
  <si>
    <t>Bronze, Green Published</t>
  </si>
  <si>
    <t>WOS:000407362100006</t>
  </si>
  <si>
    <t>Jansen, RC; Jannink, JL; Beavis, WD</t>
  </si>
  <si>
    <t>Mapping quantitative trait loci in plant breeding populations: Use of parental haplotype sharing</t>
  </si>
  <si>
    <t>Applied breeding programs evaluate large numbers of progeny derived from multiple related crosses for a wide range of agronomic traits and for tens to hundreds of molecular markers. This study was conducted to determine how these phenotypic and genetic data could be used for routinely mapping quantitative trait loci (QTLs). With dense maps, haplotype sharing of parents in a certain region is a good indicator for QTL-allele sharing, albeit not 100% perfect. With this in mind, an approximate and simple method has been developed where ancestral genome blocks in the parents of the crosses can be identified via haplotype analysis and where the effect of a putative QTL is then modeled and estimated per ancestral genome block. A simulation of an early-generation maize breeding scheme demonstrates the potential of the present approach for QTL detection in existing breeding programs. With this new QTL mapping strategy, the power, precision, and accuracy associated with large numbers of progeny may be attained, inferences about QTLs can be drawn across the breeding program rather than being limited to the sample of progeny from a single cross, and results may be much more valuable for marker-assisted breeding because the QTLs apply to agronomically challenging situations in the field.</t>
  </si>
  <si>
    <t>Univ Groningen, Inst Math &amp; Comp Sci, Groningen Bioinformat Ctr, NL-9700 AV Groningen, Netherlands; Iowa State Univ, Dept Agron, Ames, IA 50011 USA; NCGR, Santa Fe, NM 87505 USA</t>
  </si>
  <si>
    <t>University of Groningen; Iowa State University; National Center for Genome Resources (NCGR)</t>
  </si>
  <si>
    <t>Jansen, RC (corresponding author), Univ Groningen, Inst Math &amp; Comp Sci, Groningen Bioinformat Ctr, POB 800, NL-9700 AV Groningen, Netherlands.</t>
  </si>
  <si>
    <t>r.c.jansen@cs.rug.nl</t>
  </si>
  <si>
    <t>Jansen, Ritsert/C-1160-2013; Jannink, Jean-Luc/AFQ-9191-2022</t>
  </si>
  <si>
    <t>672UB</t>
  </si>
  <si>
    <t>WOS:000182540300011</t>
  </si>
  <si>
    <t>Hoogenboom, G; White, JW</t>
  </si>
  <si>
    <t>Improving physiological assumptions of simulation models by using gene-based approaches</t>
  </si>
  <si>
    <t>Symposium on Crop Modeling and Genomics</t>
  </si>
  <si>
    <t>NOV 07, 2000</t>
  </si>
  <si>
    <t>MINNEAPOLIS, MN</t>
  </si>
  <si>
    <t>DRY BEAN MODEL; PHASEOLUS-VULGARIS; PHOTOPERIOD RESPONSE; CROP SIMULATION; ROOT-GROWTH; TEMPERATURE; COEFFICIENTS; INHERITANCE; SENSITIVITY; CULTIVARS</t>
  </si>
  <si>
    <t>Application of crop models to plant breeding has been limited, in part due to the restricted capabilities of models to accurately represent genetic differences and genotype-induced crop responses. A gene-ased model, GeneGro, was developed to simulate the effects of seven genes. on growth and developmental processes in common bean (Phaseolus vulgaris L.) and was published in 1996. The objective of this paper is to describe the improvements that were made in GeneGro to incorporate the effect. of the Tip gene. Presence of the Tip gene in photoperiod-sensitive cultivars reduces the inhibitory effect of low temperature on photoperiod sensitivity of flowering. A mechanistic approach, further guided by information on two other genes affecting photoperiod response, i.e., Ppd and Hr, was used to incorporate the effect of the Tip gene. In the modified GeneGro, this inhibitory effect is reduced under cooler temperatures ranging from 15 to 20degreesC for the mean daily temperature. However, in the presence of Tip, no such reduction occurs. For-the calibration data, GeneGro explained 75% of the variation in days to flower vs. 61% for the original model. For an extensive evaluation data set, the modification explained 72% of the variation in days to flower vs. 70% for the original version while days to maturity, seed yield, canopy dry mass, and harvest index showed no improvement. These results reflect two major constraints to effective use of gene-based approaches in crop Modeling. The first is the lack of reliable characterizations of cultivars for genes used in the model. the second is the scarcity of data from conditions where phenotypic. differences between the Tip and tip gene would be expected. It can be concluded that understanding the genetic control of quantitative traits can guide improvements to simulation models.</t>
  </si>
  <si>
    <t>Univ Georgia, Dept Biol &amp; Agr Engn, Griffin, GA 30223 USA; CIMMYT Int, Mexico City 06600, DF, Mexico</t>
  </si>
  <si>
    <t>University System of Georgia; University of Georgia; CGIAR; International Maize &amp; Wheat Improvement Center (CIMMYT)</t>
  </si>
  <si>
    <t>Univ Georgia, Dept Biol &amp; Agr Engn, Griffin, GA 30223 USA.</t>
  </si>
  <si>
    <t>gerrit@griffin.peachnet.edu</t>
  </si>
  <si>
    <t>Hoogenboom, Gerrit/F-3946-2010; White, Jacinta/D-6961-2013</t>
  </si>
  <si>
    <t>10.2134/agronj2003.0082</t>
  </si>
  <si>
    <t>667XW</t>
  </si>
  <si>
    <t>WOS:000182261000009</t>
  </si>
  <si>
    <t>Wang, J; Eagles, HA; Trethowan, R; van Ginkel, M</t>
  </si>
  <si>
    <t>Using computer simulation of the selection process and known gene information to assist in parental selection in wheat quality breeding</t>
  </si>
  <si>
    <t>breeding simulation; cross performance prediction; QuCim</t>
  </si>
  <si>
    <t>CROSSES; PROGRAM; TRAITS; NUMBER; SIZE</t>
  </si>
  <si>
    <t>Determining how to choose parents and conduct selections is a critical issue in plant breeding. The genetic and breeding simulation tool QuCim can predict the outcome of a cross under a specific selection scheme, when genetic information for the targetted traits is known. In this paper, we use genetic information from Australian wheat breeding programs about glutenin, as it relates to wheat quality, to predict the outcomes from some example crosses. The 8 Silverstar sister lines used in our study are morphologically very similar, but have different values for 2 important quality traits, maximum dough resistance (Rmax) and extensibility. Supposing we intend to use Silverstar in crosses with other adapted cultivars, without losing grain quality, which sister line should we use? Under the condition that high Rmax is the major breeding objective, QuCim simulation showed that Silverstar 3 and 7 should be chosen if the other parent does not have allele b at Glu-A3 and allele d at Glu-D1. If the other parent has allele b at Glu-A3 and allele d at Glu-D1, all 8 lines can be used. If the other parent does not have allele b at Glu-A3, but has allele d at Glu-D1, Silverstar 3, 4, 7, and 8 should be used, and if the other parent has allele b at Glu-A3, but does not have allele d at Glu-D1, Silverstar 1, 3, 5, and 7 should be used. Therefore, the optimum Silverstar line depends on the alleles present at glutenin loci in the other parent. Australian wheat cultivars Krichauff and Machete have a similar value for Rmax, but they differ substantially as a donor for improving Rmax in other parents. For crosses with Australian wheat cultivar Trident, Machete is the better choice, but for crosses with the Australian wheat cultivar Westonia, Krichauff is better. In conclusion, QuCim can accurately predict the outcome from a specific cross under a selection scheme when gene information is known. It can help breeders identify the best crosses and selection methods to achieve their breeding objectives.</t>
  </si>
  <si>
    <t>Chinese Acad Agr Sci, Inst Crop Sci, Beijing 100081, Peoples R China; Dept Primary Ind, Horsham, Vic 3401, Australia; CIMMYT, Mexico City 06600, DF, Mexico; Mol Plant Breeding CRC, Bundoora, Vic 3083, Australia</t>
  </si>
  <si>
    <t>Chinese Academy of Agricultural Sciences; Institute of Crop Sciences, CAAS; Department of Primary Industries &amp; Regional Development NSW; CGIAR; International Maize &amp; Wheat Improvement Center (CIMMYT)</t>
  </si>
  <si>
    <t>Chinese Acad Agr Sci, Inst Crop Sci, 12 Zhongguancun S St, Beijing 100081, Peoples R China.</t>
  </si>
  <si>
    <t>wangjk@caas.net.cn</t>
  </si>
  <si>
    <t>10.1071/AR04285</t>
  </si>
  <si>
    <t>930EI</t>
  </si>
  <si>
    <t>WOS:000229398200005</t>
  </si>
  <si>
    <t>Marulanda, JJ; Melchinger, AE; Würschum, T</t>
  </si>
  <si>
    <t>Marulanda, Jose J.; Melchinger, Albrecht E.; Wuerschum, Tobias</t>
  </si>
  <si>
    <t>Genomic selection in biparental populations: assessment of parameters for optimum estimation set design</t>
  </si>
  <si>
    <t>genomic selection; biparental populations; phenotypic variance; prediction accuracy; estimation set design</t>
  </si>
  <si>
    <t>ZEA-MAYS L.; GENOMEWIDE SELECTION; BREEDING POPULATIONS; QUANTITATIVE TRAITS; UNIT TIME; PREDICTION; MAIZE; ACCURACY; GAIN; OPTIMIZATION</t>
  </si>
  <si>
    <t>The prediction accuracy in genomic selection is affected by complex interactions of molecular, genetic and phenotypic factors. Despite the extensive use of biparental populations for empirical- and simulation-based studies, the highly variable prediction accuracies produced by cross-validation have not been further investigated. Understanding factors correlated with the variability in prediction accuracy could provide new insights for estimation set (ES) design. In this study, we employed simulations and show that parameters derived from marker data are not associated with prediction accuracy within biparental populations and, therefore, cannot serve as tool for optimum ES design. In contrast, the phenotypic variance in the ES is a major factor correlated with prediction accuracy. In particular, for estimation sets of small size, a large phenotypic variance probably ensures that more quantitative trait loci are segregating in the ES which consequently allows a better marker effect estimation. While the ES phenotypic variance is not known beforehand, we discuss approaches how prediction accuracy could nevertheless be maximized for small estimation sets, towards a more efficient implementation of genomic selection within biparental families in plant breeding.</t>
  </si>
  <si>
    <t>[Marulanda, Jose J.; Melchinger, Albrecht E.] Univ Hohenheim, Inst Plant Breeding Seed Sci &amp; Populat Gene, D-70593 Stuttgart, Germany; [Wuerschum, Tobias] Univ Hohenheim, State Plant Breeding Inst, D-70593 Stuttgart, Germany</t>
  </si>
  <si>
    <t>University Hohenheim; University Hohenheim</t>
  </si>
  <si>
    <t>Würschum, T (corresponding author), Univ Hohenheim, State Plant Breeding Inst, D-70593 Stuttgart, Germany.</t>
  </si>
  <si>
    <t>tobias.wuerschum@uni-hohenheim.de</t>
  </si>
  <si>
    <t>Melchinger, Albrecht E./0000-0002-8346-7786; Wurschum, Tobias/0000-0002-7397-7731</t>
  </si>
  <si>
    <t>German Academic Exchange Service DAAD</t>
  </si>
  <si>
    <t>German Academic Exchange Service DAAD(Deutscher Akademischer Austausch Dienst (DAAD))</t>
  </si>
  <si>
    <t>This research was conducted with the financial support provided by the German Academic Exchange Service DAAD to JJM in the frame of the programme 'PhD Scholarships for international students'. We thank two anonymous reviewers for their constructive comments.</t>
  </si>
  <si>
    <t>WILEY-BLACKWELL</t>
  </si>
  <si>
    <t>10.1111/pbr.12317</t>
  </si>
  <si>
    <t>DB1KL</t>
  </si>
  <si>
    <t>WOS:000368267000001</t>
  </si>
  <si>
    <t>Wang, JX; Luttrell, J; Zhang, N; Khan, S; Shi, NQ; Wang, MX; Kang, JQ; Wang, Z; Xu, D</t>
  </si>
  <si>
    <t>Shen, B; Tang, H; Jiang, X</t>
  </si>
  <si>
    <t>Wang, Juexin; Luttrell, Joseph; Zhang, Ning; Khan, Saad; Shi, NianQing; Wang, Michael X.; Kang, Jing-Qiong; Wang, Zheng; Xu, Dong</t>
  </si>
  <si>
    <t>Exploring Human Diseases and Biological Mechanisms by Protein Structure Prediction and Modeling</t>
  </si>
  <si>
    <t>TRANSLATIONAL BIOMEDICAL INFORMATICS: A PRECISION MEDICINE PERSPECTIVE</t>
  </si>
  <si>
    <t>Advances in Experimental Medicine and Biology</t>
  </si>
  <si>
    <t>Protein structure modeling; Protein structure prediction; Biological mechanism; Protein misfolding; Sequence mutation; Human disease; GWAS; Plant breeding</t>
  </si>
  <si>
    <t>WEB SERVER; R PACKAGE; BINDING; MUTATIONS; PACEMAKER; FAMILY; IDENTIFICATION; CAVEOLIN; SIMULATION; POPULATION</t>
  </si>
  <si>
    <t>Protein structure prediction and modeling provide a tool for understanding protein functions by computationally constructing protein structures from amino acid sequences and analyzing them. With help from protein prediction tools and web servers, users can obtain the three-dimensional protein structure models and gain knowledge of functions from the proteins. In this chapter, we will provide several examples of such studies. As an example, structure modeling methods were used to investigate the relation between mutation-caused misfolding of protein and human diseases including epilepsy and leukemia. Protein structure prediction and modeling were also applied in nucleotide-gated channels and their interaction interfaces to investigate their roles in brain and heart cells. In molecular mechanism studies of plants, rice salinity tolerance mechanism was studied via structure modeling on crucial proteins identified by systems biology analysis; trait-associated protein-protein interactions were modeled, which sheds some light on the roles of mutations in soybean oil/protein content. In the age of precision medicine, we believe protein structure prediction and modeling will play more and more important roles in investigating biomedical mechanism of diseases and drug design.</t>
  </si>
  <si>
    <t>[Wang, Juexin; Xu, Dong] Univ Missouri, Dept Comp Sci, Columbia, MO 65211 USA; [Wang, Juexin; Zhang, Ning; Khan, Saad; Xu, Dong] Univ Missouri, Christopher S Bond Life Sci Ctr, Columbia, MO 65211 USA; [Luttrell, Joseph; Wang, Zheng] Univ Southern Mississippi, Sch Comp, 118 Coll Dr, Hattiesburg, MS 39406 USA; [Zhang, Ning; Khan, Saad; Xu, Dong] Univ Missouri, Inst Informat, Columbia, MO 65211 USA; [Shi, NianQing] Univ Wisconsin, Dept Med, Div Cardiovasc Med, Room 8418,1111 Highland Ave, Madison, WI 53706 USA; [Wang, Michael X.] Univ Missouri, Dept Pathol &amp; Anat Sci, Columbia, MO 65211 USA; [Kang, Jing-Qiong] Vanderbilt Univ, Med Ctr, Dept Neurol, Nashville, TN 37232 USA</t>
  </si>
  <si>
    <t>University of Missouri System; University of Missouri Columbia; University of Missouri System; University of Missouri Columbia; University of Southern Mississippi; University of Missouri System; University of Missouri Columbia; University of Wisconsin System; University of Wisconsin Madison; University of Missouri System; University of Missouri Columbia; Vanderbilt University</t>
  </si>
  <si>
    <t>Xu, D (corresponding author), Univ Missouri, Dept Comp Sci, Columbia, MO 65211 USA.;Xu, D (corresponding author), Univ Missouri, Christopher S Bond Life Sci Ctr, Columbia, MO 65211 USA.;Xu, D (corresponding author), Univ Missouri, Inst Informat, Columbia, MO 65211 USA.</t>
  </si>
  <si>
    <t>xudong@missouri.edu</t>
  </si>
  <si>
    <t>Wang, Juexin/HHN-5377-2022; Kang, Jingqiong/KPY-6127-2024; KHAN, SAAD/HKW-5089-2023; Xu, Dong/Y-8605-2018; Zhang, Ning/ABH-9679-2020</t>
  </si>
  <si>
    <t>Kang, Jing-Qiong/0000-0003-1079-5436; Zhang, Ning/0000-0001-6643-6980; Khan, Saad/0000-0002-1385-2056</t>
  </si>
  <si>
    <t>SPRINGER-VERLAG SINGAPORE PTE LTD</t>
  </si>
  <si>
    <t>SINGAPORE</t>
  </si>
  <si>
    <t>152 BEACH ROAD, #21-01/04 GATEWAY EAST, SINGAPORE, 189721, SINGAPORE</t>
  </si>
  <si>
    <t>0065-2598</t>
  </si>
  <si>
    <t>2214-8019</t>
  </si>
  <si>
    <t>978-981-10-1503-8; 978-981-10-1502-1</t>
  </si>
  <si>
    <t>ADV EXP MED BIOL</t>
  </si>
  <si>
    <t>Adv.Exp.Med.Biol.</t>
  </si>
  <si>
    <t>10.1007/978-981-10-1503-8_3</t>
  </si>
  <si>
    <t>10.1007/978-981-10-1503-8</t>
  </si>
  <si>
    <t>Mathematical &amp; Computational Biology; Medical Informatics; Research &amp; Experimental Medicine</t>
  </si>
  <si>
    <t>BH5HW</t>
  </si>
  <si>
    <t>WOS:000401014700003</t>
  </si>
  <si>
    <t>Yang, CJ; Sharma, R; Gorjanc, G; Hearne, S; Powell, W; Mackay, I</t>
  </si>
  <si>
    <t>Yang, Chin Jian; Sharma, Rajiv; Gorjanc, Gregor; Hearne, Sarah; Powell, Wayne; Mackay, Ian</t>
  </si>
  <si>
    <t>Origin Specific Genomic Selection: A Simple Process To Optimize the Favorable Contribution of Parents to Progeny</t>
  </si>
  <si>
    <t>introgression; barley; maize; NAM; genomic selection; plant breeding; Genomic Prediction; GenPred; Shared Data Resources</t>
  </si>
  <si>
    <t>RECURRENT SELECTION; RIDGE-REGRESSION; INTROGRESSION; PREDICTION; GERMPLASM</t>
  </si>
  <si>
    <t>Modern crop breeding is in constant demand for new genetic diversity as part of the arms race with genetic gain. The elite gene pool has limited genetic variation and breeders are trying to introduce novelty from unadapted germplasm, landraces and wild relatives. For polygenic traits, currently available approaches to introgression are not ideal, as there is a demonstrable bias against exotic alleles during selection. Here, we propose a partitioned form of genomic selection, called Origin Specific Genomic Selection (OSGS), where we identify and target selection on favorable exotic alleles. Briefly, within a population derived from a bi-parental cross, we isolate alleles originating from the elite and exotic parents, which then allows us to separate out the predicted marker effects based on the allele origins. We validated the usefulness of OSGS using two nested association mapping (NAM) datasets: barley NAM (elite-exotic) and maize NAM (elite-elite), as well as by computer simulation. Our results suggest that OSGS works well in its goal to increase the contribution of favorable exotic alleles in bi-parental crosses, and it is possible to extend the approach to broader multi-parental populations.</t>
  </si>
  <si>
    <t>[Yang, Chin Jian; Sharma, Rajiv; Powell, Wayne; Mackay, Ian] Scotlands Rural Coll SRUC, Kings Bldg,West Mains Rd, Edinburgh EH9 3JG, Midlothian, Scotland; [Gorjanc, Gregor] Univ Edinburgh, Roslin Inst, Edinburgh EH25 9RG, Midlothian, Scotland; [Gorjanc, Gregor] Univ Edinburgh, Royal Dick Sch Vet Studies, Edinburgh EH25 9RG, Midlothian, Scotland; [Hearne, Sarah] CIMMYT, KM 45 Carretera Mexico Veracruz, Texcoco 56237, Edo De Mexico, Mexico; [Mackay, Ian] IMplant Consultancy Ltd, Chelmsford, Essex, England</t>
  </si>
  <si>
    <t>University of Edinburgh; Scotland's Rural College; UK Research &amp; Innovation (UKRI); Biotechnology and Biological Sciences Research Council (BBSRC); Roslin Institute; University of Edinburgh; University of Edinburgh; CGIAR; International Maize &amp; Wheat Improvement Center (CIMMYT)</t>
  </si>
  <si>
    <t>Mackay, I (corresponding author), Scotlands Rural Coll SRUC, Kings Bldg,West Mains Rd, Edinburgh EH9 3JG, Midlothian, Scotland.</t>
  </si>
  <si>
    <t>i.j.mackay@gmail.com</t>
  </si>
  <si>
    <t>Sharma, Rajiv/W-9683-2019; Yang, Chin Jian/AAD-6513-2022; Gorjanc, Gregor/D-3684-2014</t>
  </si>
  <si>
    <t>Yang, Chin Jian/0000-0002-4953-5589; Sharma, Rajiv/0000-0003-3488-8688; Mackay, Ian/0000-0002-1109-4730; Gorjanc, Gregor/0000-0001-8008-2787; Powell, Wayne/0000-0002-5612-3398; Hearne, Sarah/0000-0003-2015-2450</t>
  </si>
  <si>
    <t>University of Edinburgh's Data-Driven Innovation Chancellor's Fellowship; BBSRC [BBS/E/D/30002275]; BBSRC [BB/R019940/1, BB/P018653/1, BB/L020467/1] Funding Source: UKRI</t>
  </si>
  <si>
    <t>University of Edinburgh's Data-Driven Innovation Chancellor's Fellowship; BBSRC(UK Research &amp; Innovation (UKRI)Biotechnology and Biological Sciences Research Council (BBSRC)); BBSRC(UK Research &amp; Innovation (UKRI)Biotechnology and Biological Sciences Research Council (BBSRC))</t>
  </si>
  <si>
    <t>G.G. acknowledges support from the BBSRC to The Roslin Institute (BBS/E/D/30002275) and The University of Edinburgh's Data-Driven Innovation Chancellor's Fellowship.</t>
  </si>
  <si>
    <t>10.1534/g3.120.401132</t>
  </si>
  <si>
    <t>MP0EU</t>
  </si>
  <si>
    <t>Green Published, Green Submitted, gold</t>
  </si>
  <si>
    <t>WOS:000551887900028</t>
  </si>
  <si>
    <t>Savary, S; Willocquet, L</t>
  </si>
  <si>
    <t>Leach, JE; Lindow, SE</t>
  </si>
  <si>
    <t>Savary, Serge; Willocquet, Laetitia</t>
  </si>
  <si>
    <t>Modeling the Impact of Crop Diseases on Global Food Security</t>
  </si>
  <si>
    <t>ANNUAL REVIEW OF PHYTOPATHOLOGY, VOL 58</t>
  </si>
  <si>
    <t>Annual Review of Phytopathology</t>
  </si>
  <si>
    <t>global food system; systems analysis; simulation modeling; epidemiology; crop loss; damage mechanism</t>
  </si>
  <si>
    <t>MAPPING POTENTIAL EPIDEMICS; SEPTORIA-TRITICI BLOTCH; APHID SITOBION-AVENAE; RICE PEST CONSTRAINTS; ANGULAR LEAF-SPOT; YIELD LOSSES; WATER RELATIONS; GROUNDNUT-RUST; CLIMATE-CHANGE; MULTIPLE-PEST</t>
  </si>
  <si>
    <t>Plant pathology must contribute to improving food security in a safe operating space, which is shrinking as a result of declining natural resources, climate change, and the growing world population. This review analyzes the position of plant pathology in a nexus of relationships, which is mapped and where the coupled dynamics of crop growth, disease, and yield losses are modeled. We derive a hierarchy of pathogens, whereby pathogens reducing radiation interception (RI), radiation use efficiency (RUE), and harvest index increasingly impact crop yields in the approximate proportions: 1:4.5:4,700. Since the dawn of agriculture, plant breeding has targeted the harvest index as a main objective for domesticated plants. Surprisingly, the literature suggests that pathogens that reduce yields by directly damaging harvestable plant tissues have received much less attention than those that reduce RI or RUE. Ecological disease management needs to target diverse production situations and therefore must consider variation in attainable yields; this can be achieved through the reengineering of agrosystems to incorporate built-in dynamic diversity of genes, plants, and crop stands.</t>
  </si>
  <si>
    <t>[Savary, Serge; Willocquet, Laetitia] Univ Toulouse, INRAE, UMR AGIR, F-31320 Castanet Tolosan, France</t>
  </si>
  <si>
    <t>INRAE; Universite de Toulouse</t>
  </si>
  <si>
    <t>Savary, S (corresponding author), Univ Toulouse, INRAE, UMR AGIR, F-31320 Castanet Tolosan, France.</t>
  </si>
  <si>
    <t>serge.savary@inrae.fr</t>
  </si>
  <si>
    <t>INRA Metaprogramme SMaCH (Sustainable Management of Crop Health)</t>
  </si>
  <si>
    <t>We wish to thank Dr. Annika Djurle, SLU (Sveriges lantbruksuniversitet), for useful discussions on damage mechanisms and the need to better account for damage on harvestable plant tissues. Many issues discussed in this article were discussed with participants and students during international courses on plant disease epidemiology. We wish to especially thank Dr. J. Kumar of the GB Pant University of Technology, India, and Dr. U.S. Singh of IRRI and CIP for support and inspiration in this research. Part of this work was funded by the INRA Metaprogramme SMaCH (Sustainable Management of Crop Health).</t>
  </si>
  <si>
    <t>ANNUAL REVIEWS</t>
  </si>
  <si>
    <t>PALO ALTO</t>
  </si>
  <si>
    <t>4139 EL CAMINO WAY, PO BOX 10139, PALO ALTO, CA 94303-0897 USA</t>
  </si>
  <si>
    <t>0066-4286</t>
  </si>
  <si>
    <t>1545-2107</t>
  </si>
  <si>
    <t>978-0-8243-1358-6</t>
  </si>
  <si>
    <t>ANNU REV PHYTOPATHOL</t>
  </si>
  <si>
    <t>Annu. Rev. Phytopathol.</t>
  </si>
  <si>
    <t>10.1146/annurev-phyto-010820-012856</t>
  </si>
  <si>
    <t>BQ8EU</t>
  </si>
  <si>
    <t>WOS:000620037300015</t>
  </si>
  <si>
    <t>Kang, HM; Zhou, L; Liu, JF</t>
  </si>
  <si>
    <t>Kang, Huimin; Zhou, Lei; Liu, Jianfeng</t>
  </si>
  <si>
    <t>Statistical considerations for genomic selection</t>
  </si>
  <si>
    <t>FRONTIERS OF AGRICULTURAL SCIENCE AND ENGINEERING</t>
  </si>
  <si>
    <t>genomic estimated breeding value; genomic selection; linkage disequilibrium; statistical methods</t>
  </si>
  <si>
    <t>LINEAR UNBIASED PREDICTOR; ESTIMATED BREEDING VALUE; SINGLE-STEP; RELATIONSHIP MATRIX; QUANTITATIVE TRAITS; GENETIC VALUES; COMPLEX TRAITS; SEQUENCE DATA; DAIRY-CATTLE; LARGE NUMBER</t>
  </si>
  <si>
    <t>Genomic selection is becoming increasingly important in animal and plant breeding, and is attracting greater attention for human disease risk prediction. This review covers the most commonly used statistical methods and some extensions of them, i.e., ridge regression and genomic best linear unbiased prediction, Bayesian alphabet, and least absolute shrinkage and selection operator. Then it discusses the measurement of the performance of genomic selection and factors affecting the prediction of performance. Among the measurements of prediction performance, the most important and commonly used measurement is prediction accuracy. In simulation studies where true breeding values are available, accuracy of genomic estimated breeding value can be calculated directly. In real or industrial data studies, either training-testing approach or k-fold cross-validation is commonly employed to validate methods. Factors influencing the accuracy of genomic selection include linkage disequilibrium between markers and quantitative trait loci, genetic architecture of the trait, and size and composition of the training population. Genomic selection has been implemented in the breeding programs of dairy cattle, beef cattle, pigs and poultry. Genomic selection in other species has also been intensively researched, and is likely to be implemented in the near future.</t>
  </si>
  <si>
    <t>[Kang, Huimin; Zhou, Lei; Liu, Jianfeng] China Agr Univ, Coll Anim Sci &amp; Technol, Key Lab Anim Genet Breeding &amp; Reprod, Natl Engn Lab Anim Breeding,Minist Agr, Beijing 100193, Peoples R China</t>
  </si>
  <si>
    <t>Ministry of Agriculture &amp; Rural Affairs; China Agricultural University</t>
  </si>
  <si>
    <t>Liu, JF (corresponding author), China Agr Univ, Coll Anim Sci &amp; Technol, Key Lab Anim Genet Breeding &amp; Reprod, Natl Engn Lab Anim Breeding,Minist Agr, Beijing 100193, Peoples R China.</t>
  </si>
  <si>
    <t>liujf@cau.edu.cn</t>
  </si>
  <si>
    <t>liu, jianfeng/JDW-7366-2023; Zhou, Lei/AAK-5523-2020</t>
  </si>
  <si>
    <t>Zhou, Lei/0000-0002-8837-3965</t>
  </si>
  <si>
    <t>National Natural Science Foundations of China [31272419, 31661143013]; National High Technology Research and Development Program of China [2013AA102503]; China Agriculture Research System [CARS-36]; Program for Changjiang Scholar and Innovation Research Team in University [IRT_15R62]</t>
  </si>
  <si>
    <t>National Natural Science Foundations of China(National Natural Science Foundation of China (NSFC)); National High Technology Research and Development Program of China(National High Technology Research and Development Program of China); China Agriculture Research System; Program for Changjiang Scholar and Innovation Research Team in University</t>
  </si>
  <si>
    <t>This work was supported by the National Natural Science Foundations of China (31272419, 31661143013), the National High Technology Research and Development Program of China (2013AA102503), China Agriculture Research System (CARS-36), and the Program for Changjiang Scholar and Innovation Research Team in University (IRT_15R62).</t>
  </si>
  <si>
    <t>HIGHER EDUCATION PRESS</t>
  </si>
  <si>
    <t>CHAOYANG DIST, 4, HUIXINDONGJIE, FUSHENG BLDG, BEIJING 100029, PEOPLES R CHINA</t>
  </si>
  <si>
    <t>2095-7505</t>
  </si>
  <si>
    <t>2095-977X</t>
  </si>
  <si>
    <t>FRONT AGRIC SCI ENG</t>
  </si>
  <si>
    <t>Front. Agric. Sci. Eng.</t>
  </si>
  <si>
    <t>10.15302/J-FASE-2017164</t>
  </si>
  <si>
    <t>FG9NB</t>
  </si>
  <si>
    <t>WOS:000410764900003</t>
  </si>
  <si>
    <t>van Stein, B; Raponi, E; Sadeghi, Z; Bouman, N; van Ham, R; Bäck, T</t>
  </si>
  <si>
    <t>van Stein, Bas; Raponi, Elena; Sadeghi, Zahra; Bouman, Niek; van Ham, Roeland; Back, Thomas</t>
  </si>
  <si>
    <t>A Comparison of Global Sensitivity Analysis Methods for Explainable AI With an Application in Genomic Prediction</t>
  </si>
  <si>
    <t>IEEE ACCESS</t>
  </si>
  <si>
    <t>Analytical models; Sensitivity analysis; Biological system modeling; Machine learning; Uncertainty; Predictive models; Robustness; Explainable artificial intelligence; global sensitivity analysis; machine learning; plant breeding; genomic prediction</t>
  </si>
  <si>
    <t>SIMULATION; SYSTEMS</t>
  </si>
  <si>
    <t>Explainable Artificial Intelligence (XAI) is an increasingly important field of research required to bring AI to the next level in real-world applications. Global sensitivity analysis (GSA) methods play an important role in XAI, as they can provide an understanding of which (groups of) parameters have high influence in the predictions of machine learning models and the output of simulators and real-world processes. In this paper, we conduct a survey into global sensitivity methods in an XAI context and present both a qualitative and a quantitative analysis of these methods under different conditions. In addition to the overview and comparison, we propose an open source application, GSAreport, that allows you to easily generate extensive reports using a carefully selected set of global sensitivity analysis methods depending on the number of dimensions and samples, to gain a deep understanding of the role of each feature for a given model or data set. We finally present the methods discussed in a complex real-world application of genomic prediction and draw conclusions about when to use which GSA methods.</t>
  </si>
  <si>
    <t>[van Stein, Bas; Sadeghi, Zahra; Back, Thomas] Leiden Univ, Leiden Inst Adv Comp Sci, NL-2333 CA Leiden, Netherlands; [Raponi, Elena] Tech Univ Munich, TUM Sch Engn &amp; Design, D-80333 Munich, Germany; [Raponi, Elena] Sorbonne Univ, LIP6 Dept, F-75005 Paris, France; [Bouman, Niek; van Ham, Roeland] Keygene NV, NL-6708 PW Wageningen, Netherlands</t>
  </si>
  <si>
    <t>Leiden University; Leiden University - Excl LUMC; Technical University of Munich; Sorbonne Universite; Keygene N.V.</t>
  </si>
  <si>
    <t>van Stein, B (corresponding author), Leiden Univ, Leiden Inst Adv Comp Sci, NL-2333 CA Leiden, Netherlands.</t>
  </si>
  <si>
    <t>b.van.stein@liacs.leidenuniv.nl</t>
  </si>
  <si>
    <t>Raponi, Elena/IYJ-5187-2023; van Stein, Bas/AAB-8670-2021</t>
  </si>
  <si>
    <t>van Stein, Niki/0000-0002-0013-7969; Sadeghi, Zahra/0000-0002-1360-7499; Raponi, Elena/0000-0001-6841-7409; Back, Thomas/0000-0001-6768-1478</t>
  </si>
  <si>
    <t>Project XAIPre of the Research Program Smart Industry 2020 through the Dutch Research Council [Nederlandse Organisatie voor Wetenschappelijk Onderzoek (NWO)] [19455]</t>
  </si>
  <si>
    <t>Project XAIPre of the Research Program Smart Industry 2020 through the Dutch Research Council [Nederlandse Organisatie voor Wetenschappelijk Onderzoek (NWO)]</t>
  </si>
  <si>
    <t>This work was supported in part by the Project XAIPre of the Research Program Smart Industry 2020 through the Dutch Research Council [Nederlandse Organisatie voor Wetenschappelijk Onderzoek (NWO)] under Project 19455.</t>
  </si>
  <si>
    <t>IEEE-INST ELECTRICAL ELECTRONICS ENGINEERS INC</t>
  </si>
  <si>
    <t>PISCATAWAY</t>
  </si>
  <si>
    <t>445 HOES LANE, PISCATAWAY, NJ 08855-4141 USA</t>
  </si>
  <si>
    <t>2169-3536</t>
  </si>
  <si>
    <t>IEEE Access</t>
  </si>
  <si>
    <t>10.1109/ACCESS.2022.3210175</t>
  </si>
  <si>
    <t>Computer Science; Engineering; Telecommunications</t>
  </si>
  <si>
    <t>5C6DC</t>
  </si>
  <si>
    <t>WOS:000864347100001</t>
  </si>
  <si>
    <t>Ishimori, M; Takanashi, H; Fujimoto, M; Kajiya-Kanegae, H; Yoneda, J; Tokunaga, T; Tsutsumi, N; Iwata, H</t>
  </si>
  <si>
    <t>Ishimori, Motoyuki; Takanashi, Hideki; Fujimoto, Masaru; Kajiya-Kanegae, Hiromi; Yoneda, Junichi; Tokunaga, Tsuyoshi; Tsutsumi, Nobuhiro; Iwata, Hiroyoshi</t>
  </si>
  <si>
    <t>Spatial kernel models capturing field heterogeneity for accurate estimation of genetic potential</t>
  </si>
  <si>
    <t>Words; spatial kernel; field heterogeneity; variety evaluation trial; genetic potential; genomic selection; bioenergy sorghum</t>
  </si>
  <si>
    <t>GENOMIC PREDICTION; YIELD; VARIABILITY; SELECTION; TRIALS</t>
  </si>
  <si>
    <t>According to Fisher's principles, an experimental field is typically divided into multiple blocks for local control. Although homogeneity is supposed within a block, this assumption may not be practical for large blocks, such as those including hundreds of plots. In line evaluation trials, which are essential in plant breeding, field heterogeneity must be carefully treated, because it can cause bias in the estimation of genetic potential. To more accurately estimate genotypic values in a large field trial, we developed spatial kernel models incorporating genome-wide markers, which consider continuous heterogeneity within a block and over the field. In the simulation study, the spatial kernel models were robust under various conditions. Although heritability, spatial autocorrelation range, replication number, and missing plots directly affected the estimation accuracy of genotypic values, the spatial kernel models always showed superior performance over the classical block model. We also employed these spatial kernel models for quantitative trait locus mapping. Finally, using field experimental data of bioenergy sorghum lines, we validated the performance of the spatial kernel models. The results suggested that a spatial kernel model is effective for evaluating the genetic potential of lines in a heterogeneous field.</t>
  </si>
  <si>
    <t>[Ishimori, Motoyuki; Takanashi, Hideki; Fujimoto, Masaru; Kajiya-Kanegae, Hiromi; Tsutsumi, Nobuhiro; Iwata, Hiroyoshi] Univ Tokyo, Grad Sch Agr &amp; Life Sci, Bunkyo Ku, 1-1-1 Yayoi, Tokyo 1138657, Japan; [Yoneda, Junichi; Tokunaga, Tsuyoshi] EARTHNOTE Co Ltd, 1388 Sokei, Ginoza, Okinawa 9041303, Japan</t>
  </si>
  <si>
    <t>University of Tokyo</t>
  </si>
  <si>
    <t>Iwata, H (corresponding author), Univ Tokyo, Grad Sch Agr &amp; Life Sci, Bunkyo Ku, 1-1-1 Yayoi, Tokyo 1138657, Japan.</t>
  </si>
  <si>
    <t>hiroiwata@g.ecc.u-tokyo.ac.jp</t>
  </si>
  <si>
    <t>Ishimori, Motoyuki/AAW-3597-2020; tsutsumi, nobuhiro/IVV-8279-2023; Kanegae, Hiromi/AFS-0023-2022</t>
  </si>
  <si>
    <t>Takanashi, Hideki/0000-0003-2251-8508</t>
  </si>
  <si>
    <t>CREST, Japan Science and Technology Agency, Japan; Japan Society for the Promotion of Science KAKENHI [17H01457]; Grants-in-Aid for Scientific Research [20H00418, 17H01457] Funding Source: KAKEN</t>
  </si>
  <si>
    <t>CREST, Japan Science and Technology Agency, Japan(Japan Science &amp; Technology Agency (JST)); Japan Society for the Promotion of Science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</si>
  <si>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The research was funded by CREST, Japan Science and Technology Agency, Japan (research subject: Novel tech-niques of tailor-made breeding for energy crop improve-ment using high-throughput genotyping) and partially supported by Japan Society for the Promotion of Science KAKENHI (Grant 17H01457) . The authors appreciate the technical assistance of the members of the Laboratory of Biometry and Bioinformatics and the Laboratory of Plant Molecular Genetics at the University of Tokyo.</t>
  </si>
  <si>
    <t>10.1270/jsbbs.20060</t>
  </si>
  <si>
    <t>WD5KB</t>
  </si>
  <si>
    <t>WOS:000704978200004</t>
  </si>
  <si>
    <t>Bonk, S; Reichelt, M; Teuscher, F; Segelke, D; Reinsch, N</t>
  </si>
  <si>
    <t>Bonk, Sarah; Reichelt, Manuela; Teuscher, Friedrich; Segelke, Dierck; Reinsch, Norbert</t>
  </si>
  <si>
    <t>Mendelian sampling covariability of marker effects and genetic values</t>
  </si>
  <si>
    <t>GENETICS SELECTION EVOLUTION</t>
  </si>
  <si>
    <t>PREDICTION; VARIANCE</t>
  </si>
  <si>
    <t>Background: Measures of the expected genetic variability among full-sibs are of practical relevance, such as in the context of mating decisions. An important application field in animal and plant breeding is the selection and allocation of mates when large or small amounts of genetic variability among offspring are desired, depending on user-specific goals. Estimates of the Mendelian sampling variance can be obtained by simulating gametes from parents with known diplotypes. Knowledge of recombination rates and additive marker effects is also required. In this study, we aimed at developing an exact method that can account for both additive and dominance effects. Results: We derived parent-specific covariance matrices that exactly quantify the within-family (co-) variability of additive and dominance marker effects. These matrices incorporate prior knowledge of the parental diplotypes and recombination rates. When combined with additive marker effects, they allow the exact derivation of the Mendelian sampling (co-) variances of (estimated) breeding values for several traits, as well for the aggregate genotype. A comparative analysis demonstrated good average agreement between the exact values and the simulation results for a practical dataset (74,353 German Holstein cattle). Conclusions: The newly derived method is suitable for calculating the exact amount of intra-family variation of the estimated breeding values and genetic values (comprising additive and dominance effects).</t>
  </si>
  <si>
    <t>[Bonk, Sarah; Reichelt, Manuela; Teuscher, Friedrich; Reinsch, Norbert] Leibniz Inst Farm Anim Biol FBN, Inst Genet &amp; Biometry, Wilhelm Stahl Allee 2, D-18196 Dummerstorf, Germany; [Segelke, Dierck] Vereinigte Informat Syst Tierhaltung wV, Heideweg 1, D-27283 Verden, Germany</t>
  </si>
  <si>
    <t>Forschungsinstitut fur Nutztierbiologie (FBN)</t>
  </si>
  <si>
    <t>Reinsch, N (corresponding author), Leibniz Inst Farm Anim Biol FBN, Inst Genet &amp; Biometry, Wilhelm Stahl Allee 2, D-18196 Dummerstorf, Germany.</t>
  </si>
  <si>
    <t>reinsch@fbn-dummerstorf.de</t>
  </si>
  <si>
    <t>BMBF via Phanomics [0315536G]; Leibniz Association</t>
  </si>
  <si>
    <t>BMBF via Phanomics(Federal Ministry of Education &amp; Research (BMBF)); Leibniz Association</t>
  </si>
  <si>
    <t>We thank Friedrich Reinhard (VIT Verden) for fruitful discussions. We thank three anonymous reviewers for their valuable comments. Financial support for SB and MR from BMBF via Phanomics under Grant 0315536G is gratefully acknowledged. The publication of this article was funded by the Open Access fund of the Leibniz Association.</t>
  </si>
  <si>
    <t>BIOMED CENTRAL LTD</t>
  </si>
  <si>
    <t>236 GRAYS INN RD, FLOOR 6, LONDON WC1X 8HL, ENGLAND</t>
  </si>
  <si>
    <t>0999-193X</t>
  </si>
  <si>
    <t>1297-9686</t>
  </si>
  <si>
    <t>GENET SEL EVOL</t>
  </si>
  <si>
    <t>Genet. Sel. Evol.</t>
  </si>
  <si>
    <t>APR 23</t>
  </si>
  <si>
    <t>10.1186/s12711-016-0214-0</t>
  </si>
  <si>
    <t>Agriculture; Genetics &amp; Heredity</t>
  </si>
  <si>
    <t>DK4YJ</t>
  </si>
  <si>
    <t>WOS:000374925900001</t>
  </si>
  <si>
    <t>Zeng, YR; Hou, W; Song, S; Feng, SS; Shen, L; Xia, GH; Wu, RL</t>
  </si>
  <si>
    <t>Zeng, Yanru; Hou, Wei; Song, Shuang; Feng, Sisi; Shen, Lin; Xia, Guohua; Wu, Rongling</t>
  </si>
  <si>
    <t>A statistical design for testing apomictic diversification through linkage analysis</t>
  </si>
  <si>
    <t>BRIEFINGS IN BIOINFORMATICS</t>
  </si>
  <si>
    <t>apomixes; linkage analysis; species diversification; reciprocal design</t>
  </si>
  <si>
    <t>GENE-EXPRESSION; SEXUAL OVULES; APOMIXIS; EVOLUTION; REPRODUCTION; CHROMOSOME; PENNISETUM; STRATEGY; PATTERN; COMPLEX</t>
  </si>
  <si>
    <t>The capacity of apomixis to generate maternal clones through seed reproduction has made it a useful characteristic for the fixation of heterosis in plant breeding. It has been observed that apomixis displays pronounced intra- and interspecific diversification, but the genetic mechanisms underlying this diversification remains elusive, obstructing the exploitation of this phenomenon in practical breeding programs. By capitalizing on molecular information in mapping populations, we describe and assess a statistical design that deploys linkage analysis to estimate and test the pattern and extent of apomictic differences at various levels from genotypes to species. The design is based on two reciprocal crosses between two individuals each chosen from a hermaphrodite or monoecious species. A multinomial distribution likelihood is constructed by combining marker information from two crosses. The EM algorithm is implemented to estimate the rate of apomixis and test its difference between two plant populations or species as the parents. The design is validated by computer simulation. A real data analysis of two reciprocal crosses between hickory (Carya cathayensis) and pecan (C. illinoensis) demonstrates the utilization and usefulness of the design in practice. The design provides a tool to address fundamental and applied questions related to the evolution and breeding of apomixis.</t>
  </si>
  <si>
    <t>[Zeng, Yanru; Song, Shuang; Shen, Lin; Xia, Guohua] Zhejiang Agr &amp; Forestry Univ, Linan 311300, Zhejiang, Peoples R China; [Hou, Wei] Univ Florida, Gainesville, FL 32611 USA; [Feng, Sisi] Beijing Forestry Univ, Beijing, Peoples R China; [Wu, Rongling] Penn State Univ, Ctr Stat Genet, Hershey, PA 17033 USA; [Wu, Rongling] Beijing Forestry Univ, Ctr Computat Biol, Beijing, Peoples R China</t>
  </si>
  <si>
    <t>Zhejiang A&amp;F University; State University System of Florida; University of Florida; Beijing Forestry University; Pennsylvania Commonwealth System of Higher Education (PCSHE); Pennsylvania State University; Penn State Health; Beijing Forestry University</t>
  </si>
  <si>
    <t>Wu, RL (corresponding author), Zhejiang Agr &amp; Forestry Univ, Nurturing Stn, State Key Lab Subtrop Silviculture, Linan 311300, Zhejiang, Peoples R China.</t>
  </si>
  <si>
    <t>rwu@phs.psu.edu</t>
  </si>
  <si>
    <t>Hou, Wei/F-4996-2015</t>
  </si>
  <si>
    <t>NSF of China [30771752, 31100229]; NSF of Zhejiang Province, China [Y3110311]; Changjiang Scholars Award; 'One-thousand Person' Award</t>
  </si>
  <si>
    <t>NSF of China(National Natural Science Foundation of China (NSFC)); NSF of Zhejiang Province, China(Natural Science Foundation of Zhejiang Province); Changjiang Scholars Award; 'One-thousand Person' Award</t>
  </si>
  <si>
    <t>This work is partially supported by NSF of China [30771752 and 31100229], NSF of Zhejiang Province, China [Y3110311], Changjiang Scholars Award and 'One-thousand Person' Award.</t>
  </si>
  <si>
    <t>1467-5463</t>
  </si>
  <si>
    <t>1477-4054</t>
  </si>
  <si>
    <t>BRIEF BIOINFORM</t>
  </si>
  <si>
    <t>Brief. Bioinform.</t>
  </si>
  <si>
    <t>10.1093/bib/bbs080</t>
  </si>
  <si>
    <t>Biochemistry &amp; Molecular Biology; Mathematical &amp; Computational Biology</t>
  </si>
  <si>
    <t>AD4VN</t>
  </si>
  <si>
    <t>WOS:000333249500013</t>
  </si>
  <si>
    <t>Shor, T; Kalka, I; Geiger, D; Erlich, Y; Weissbrod, O</t>
  </si>
  <si>
    <t>Shor, Tal; Kalka, Iris; Geiger, Dan; Erlich, Yaniv; Weissbrod, Omer</t>
  </si>
  <si>
    <t>Estimating variance components in population scale family trees</t>
  </si>
  <si>
    <t>PLOS GENETICS</t>
  </si>
  <si>
    <t>AVERAGE-INFORMATION REML; EFFICIENT ALGORITHM; GENOMIC SELECTION; FULL PEDIGREE; SINGLE-STEP; HERITABILITY; PREDICTION; GENETICS; DISEASES; TRAITS</t>
  </si>
  <si>
    <t>The rapid digitization of genealogical and medical records enables the assembly of extremely large pedigree records spanning millions of individuals and trillions of pairs of relatives. Such pedigrees provide the opportunity to investigate the sociological and epidemiological history of human populations in scales much larger than previously possible. Linear mixed models (LMMs) are routinely used to analyze extremely large animal and plant pedigrees for the purposes of selective breeding. However, LMMs have not been previously applied to analyze population-scale human family trees. Here, we present Sparse Cholesky factorIzation LMM (Sci-LMM), a modeling framework for studying population-scale family trees that combines techniques from the animal and plant breeding literature and from human genetics literature. The proposed framework can construct a matrix of relationships between trillions of pairs of individuals and fit the corresponding LMM in several hours. We demonstrate the capabilities of Sci-LMM via simulation studies and by estimating the heritability of longevity and of reproductive fitness (quantified via number of children) in a large pedigree spanning millions of individuals and over five centuries of human history. Sci-LMM provides a unified framework for investigating the epidemiological history of human populations via genealogical records.</t>
  </si>
  <si>
    <t>[Shor, Tal; Geiger, Dan; Weissbrod, Omer] Technion Israel Inst Technol, Comp Sci Dept, Haifa, Israel; [Shor, Tal; Erlich, Yaniv] MyHeritage Ltd, Or Yehuda, Israel; [Kalka, Iris] Weizmann Inst Sci, Dept Comp Sci &amp; Appl Math, Rehovot, Israel; [Kalka, Iris] Weizmann Inst Sci, Dept Mol Cell Biol, Rehovot, Israel; [Erlich, Yaniv] New York Genome Ctr, New York, NY USA; [Erlich, Yaniv] Columbia Univ, Fu Sch Engn, Dept Comp Sci, New York, NY USA; [Weissbrod, Omer] Harvard TH Chan Sch Publ Hlth, Dept Epidemiol, Boston, MA 02115 USA</t>
  </si>
  <si>
    <t>Technion Israel Institute of Technology; Weizmann Institute of Science; Weizmann Institute of Science; Columbia University; Harvard University; Harvard T.H. Chan School of Public Health</t>
  </si>
  <si>
    <t>Shor, T; Weissbrod, O (corresponding author), Technion Israel Inst Technol, Comp Sci Dept, Haifa, Israel.;Shor, T (corresponding author), MyHeritage Ltd, Or Yehuda, Israel.;Weissbrod, O (corresponding author), Harvard TH Chan Sch Publ Hlth, Dept Epidemiol, Boston, MA 02115 USA.</t>
  </si>
  <si>
    <t>tal.shor@myheritage.com; oweissbrod@hsph.harvard.edu</t>
  </si>
  <si>
    <t>Kalka, Iris/0000-0001-9375-2946; Weissbrod, Omer/0000-0001-9860-0626</t>
  </si>
  <si>
    <t>Burroughs Wellcome Fund Career Awards at the Scientific Interface</t>
  </si>
  <si>
    <t>Burroughs Wellcome Fund Career Awards at the Scientific Interface(Burroughs Wellcome Fund)</t>
  </si>
  <si>
    <t>This study was supported by a generous gift from Andria and Paul Heafy (YE) and the Burroughs Wellcome Fund Career Awards at the Scientific Interface. The funders had no role in study design, data collection and analysis, decision to publish, or preparation of the manuscript.</t>
  </si>
  <si>
    <t>1553-7404</t>
  </si>
  <si>
    <t>PLOS GENET</t>
  </si>
  <si>
    <t>PLoS Genet.</t>
  </si>
  <si>
    <t>e1008124</t>
  </si>
  <si>
    <t>10.1371/journal.pgen.1008124</t>
  </si>
  <si>
    <t>IB3ZP</t>
  </si>
  <si>
    <t>WOS:000470208000022</t>
  </si>
  <si>
    <t>Lorenz, AJ; Smith, KP</t>
  </si>
  <si>
    <t>Lorenz, Aaron J.; Smith, Kevin P.</t>
  </si>
  <si>
    <t>Adding Genetically Distant Individuals to Training Populations Reduces Genomic Prediction Accuracy in Barley</t>
  </si>
  <si>
    <t>HEAD BLIGHT RESISTANCE; ZEA-MAYS L.; LINKAGE DISEQUILIBRIUM; BREEDING PROGRAMS; WIDE ASSOCIATION; SELECTION; MAIZE; INFORMATION; RELIABILITY; SIMULATION</t>
  </si>
  <si>
    <t>One of the most important factors affecting genomic prediction accuracy appears to be training population (TP) composition. The objective of this study was to evaluate the effect of genomic relationship on genomic prediction accuracy and determine if adding increasingly unrelated individuals to a TP can reduce prediction accuracy. To accomplish this, a population of barley (Hordeum vulgare L.) lines from the University of Minnesota (lines denoted as MN) and North Dakota State University (lines denoted as ND) breeding programs were used for model training. Predictions were validated using two independent sets of progenies derived from MN x MN crosses and ND x ND crosses. Predictive ability sharply decreased with decreasing relationship between the TP and validation population (VP). More importantly, it was observed that adding increasingly unrelated individuals to the TP can actually reduce predictive ability compared with smaller TPs consisting of highly related individuals only. Reported results are possibly conditional on the relatively low marker density (342 single nucleotide polymorphisms [ SNPs]) used. Nevertheless, these findings suggest plant breeding programs desiring to use genomic selection could benefit from focusing on good phenotyping of smaller TPs closely related to the selection candidates rather than developing large and diverse TPs.</t>
  </si>
  <si>
    <t>[Lorenz, Aaron J.] Univ Nebraska, Dept Agron &amp; Hort, Lincoln, NE 68583 USA; [Smith, Kevin P.] Univ Minnesota, Dept Agron &amp; Plant Genet, St Paul, MN 55108 USA</t>
  </si>
  <si>
    <t>University of Nebraska System; University of Nebraska Lincoln; University of Minnesota System; University of Minnesota Twin Cities</t>
  </si>
  <si>
    <t>Lorenz, AJ (corresponding author), Univ Nebraska, Dept Agron &amp; Hort, Lincoln, NE 68583 USA.</t>
  </si>
  <si>
    <t>lore0149@umn.edu</t>
  </si>
  <si>
    <t>USDA-NIFA [2009-85606-05701]; US Wheat and Barley Scab Initiative USDA-ARS [59-0206-9-072]; NIFA [581778, 2009-85606-05701] Funding Source: Federal RePORTER</t>
  </si>
  <si>
    <t>USDA-NIFA(United States Department of Agriculture (USDA)); US Wheat and Barley Scab Initiative USDA-ARS(United States Department of Agriculture (USDA)); NIFA(United States Department of Agriculture (USDA)National Institute of Food &amp; Agriculture)</t>
  </si>
  <si>
    <t>We thank Vikas Vikram for making the data available and Richard Horsley for providing the North Dakota phenotypic data. Thanks are also due to Ed Scheifelbein, Karen Beaubien, and Martin Hochhalterfor for providing technical assistance and Shioaman Chao for genotyping. This research was supported by USDA-NIFA Grant No. 2009-85606-05701, Barley Coordinated Agricultural Project and the US Wheat and Barley Scab Initiative USDA-ARS Agreement No. 59-0206-9-072. This is a cooperative project with the US Wheat and Barley Scab Initiative. Any opinions, findings, conclusions, or recommendations expressed in this publication are those of the author(s) and do not necessarily reflect the view of the USDA.</t>
  </si>
  <si>
    <t>10.2135/cropsci2014.12.0827</t>
  </si>
  <si>
    <t>DB1JX</t>
  </si>
  <si>
    <t>WOS:000368265600025</t>
  </si>
  <si>
    <t>Bhering, LL; Xu, SZ</t>
  </si>
  <si>
    <t>Bhering, Leonardo Lopes; Xu, Shizhong</t>
  </si>
  <si>
    <t>INDIRECT RESPONSE IN GENOME WIDE SELECTION USING SELECTED MARKERS</t>
  </si>
  <si>
    <t>BIOSCIENCE JOURNAL</t>
  </si>
  <si>
    <t>Genome Selection; Maize; Simulation; Data analysis; Plant breeding</t>
  </si>
  <si>
    <t>PREDICTION; REGRESSION; PACKAGE</t>
  </si>
  <si>
    <t>The goal of this work was to compare the effect of the accuracy and residual variance in genome wide selection using marker selection as well as using the effect of the indirect selection, using simulated and real data. In simulated data was used one sample with 200 individuals with 1,000 molecular markers in F2 population. The real data was obtained in maize with F2 population with 441 individuals and genotyping with 261 SSR markers. There was 11 traits evaluated (ear length, ear width, row number, kernels per row, 100-kernel weight, ear weight, grain yield, length of branch, number of branch, plant height and ear height). All data was analyzed using rrBLUP method and 10-fold cross-validation. In simulated and maize data the results were similar: the residual variance with few markers is lower than with the 1000 markers and the accuracy with few markers is bigger than with 1000 markers. For maize data multi trait selection, the accuracy increased when the correlation between traits is greater than 0.50 and residual variance decreased when the correlation is greater than 0.70. In this sense, these results showed that marker selection could be used as a first step in genome wide selection, improving the prediction and compute demand.</t>
  </si>
  <si>
    <t>[Bhering, Leonardo Lopes] Univ Fed Vicosa, Dept Biol Geral, Vicosa, MG, Brazil; [Xu, Shizhong] Univ Calif Riverside, Dept Bot &amp; Plant Sci, Riverside, CA 92521 USA</t>
  </si>
  <si>
    <t>Universidade Federal de Vicosa; University of California System; University of California Riverside</t>
  </si>
  <si>
    <t>Bhering, LL (corresponding author), Univ Fed Vicosa, Dept Biol Geral, Vicosa, MG, Brazil.</t>
  </si>
  <si>
    <t>leonardo.bhering@ufv.br</t>
  </si>
  <si>
    <t>Bhering, Leonardo/AAK-9548-2020</t>
  </si>
  <si>
    <t>Bhering, Leonardo/0000-0002-6072-0996</t>
  </si>
  <si>
    <t>Conselho Nacional de Desenvolvimento Cientifico e Tecnologico CNPq - Brasil; Fapemig; Capes; CNPq - Brasil</t>
  </si>
  <si>
    <t>Conselho Nacional de Desenvolvimento Cientifico e Tecnologico CNPq - Brasil(Conselho Nacional de Desenvolvimento Cientifico e Tecnologico (CNPQ)); Fapemig(Fundacao de Amparo a Pesquisa do Estado de Minas Gerais (FAPEMIG)); Capes(Coordenacao de Aperfeicoamento de Pessoal de Nivel Superior (CAPES)); CNPq - Brasil(Conselho Nacional de Desenvolvimento Cientifico e Tecnologico (CNPQ))</t>
  </si>
  <si>
    <t>Acknowledgements to Conselho Nacional de Desenvolvimento Cientifico e Tecnologico CNPq - Brasil that funded the scholarship, and Fapemig, Capes and CNPq - Brasil to financial support.</t>
  </si>
  <si>
    <t>UNIV FEDERAL UBERLANDIA</t>
  </si>
  <si>
    <t>UBERLANDIA</t>
  </si>
  <si>
    <t>AV PARA, 1720 CAMPUS UMUARAMA, UBERLANDIA, 38400-902, BRAZIL</t>
  </si>
  <si>
    <t>1981-3163</t>
  </si>
  <si>
    <t>BIOSCI J</t>
  </si>
  <si>
    <t>Biosci. J.</t>
  </si>
  <si>
    <t>10.14393/BJ-v35n5a2019-42245</t>
  </si>
  <si>
    <t>Agriculture; Life Sciences &amp; Biomedicine - Other Topics</t>
  </si>
  <si>
    <t>JL2MH</t>
  </si>
  <si>
    <t>WOS:000495365800029</t>
  </si>
  <si>
    <t>Hoogenboom, G; White, JW; AcostaGallegos, J; Gaudiel, RG; Myers, JR; Silbernagel, MJ</t>
  </si>
  <si>
    <t>Evaluation of a crop simulation model that incorporates gene action</t>
  </si>
  <si>
    <t>PHASEOLUS-VULGARIS L; DRY BEAN MODEL; PHOTOPERIOD RESPONSE; SEED SIZE; ROOT-GROWTH; TEMPERATURE; YIELD; ENVIRONMENTS; INHERITANCE; CULTIVARS</t>
  </si>
  <si>
    <t>Crop simulation models are receiving increasing use in agricultural research, However, applications to plant breeding have been limited, in part due to the restricted capabilities of models to represent genetic differences, A gene-based simulation model, GeneGro, has been developed that integrates action of seven genes into a common bean (Phaseolus vulgaris L.) model, The genes for physiological traits identified in the model include Ppd, Hr, Fin, Fd, Ssz-1, Ssz-2, and Ssz-3, Evaluation of GeneGro was performed by comparison of measured field data vs, simulated data, and through a sensitivity analysis of the model, The experimental data set for model comparison was comprised of 14 field trials conducted in Canada, the USA, Mexico, and Colombia, representing 213 treatment combinations and including 39 cultivars, GeneCro explained 75% of variation in days to Bower, 68% in days to maturity, and 39% in seed mass, but only 11% of variation in seed yield, Most of the variation in simulated seed yield was accounted for by the model when mean effects of site and cultivars were removed through regression analysis. This suggests that the poor simulation of seed yield was partially due to errors in simulating differences among sites rather than from simulating the response of genotypes to sites, Seed yield simulations were made for 96 genotypes that represented all expected phenotypic combinations of the seven genes included in the model, Simulations were conducted using historical weather data from Fargo, ND; Madero, Mexico; and Palmira, Colombia, GeneGro predicted that photoperiod sensitivity, conferred by Ppd and Hr, would result in zero seed yields at Fargo, a slight seed yield increase at Madero, and no effect at Palmira. Testing effects of maturity on seed yield, the genotypes fin and Fd resulted in lower seed yields due to shorter growth cycles, in agreement with field trials. The predicted effects of the three genes related to seed size varied among the sites. These results support the use of genetic information to represent cultivar differences in simulation models, They also, emphasize the need for a better understanding of the physiological genetics of traits such as phenology, seed size, and growth habit.</t>
  </si>
  <si>
    <t>CIMMYT, MEXICO CITY 06600, DF, MEXICO; INIFAP, MEXICO CITY 56230, DF, MEXICO; ALBERTA SPECIAL CROPS &amp; HORT CTR, BROOKS, AB T1R 1E6, CANADA; UNIV IDAHO, KIMBERLY RES &amp; EXT CTR, KIMBERLY, ID 83341 USA; USDA ARS, IRRIGATED AGR RES CTR, PROSSER, WA 99350 USA</t>
  </si>
  <si>
    <t>CGIAR; International Maize &amp; Wheat Improvement Center (CIMMYT); University of Idaho; United States Department of Agriculture (USDA)</t>
  </si>
  <si>
    <t>UNIV GEORGIA, GEORGIA STN, DEPT AGR &amp; BIOL ENGN, GRIFFIN, GA 30223 USA.</t>
  </si>
  <si>
    <t>White, Jacinta/D-6961-2013; Hoogenboom, Gerrit/F-3946-2010</t>
  </si>
  <si>
    <t>10.2134/agronj1997.00021962008900040013x</t>
  </si>
  <si>
    <t>XU064</t>
  </si>
  <si>
    <t>WOS:A1997XU06400013</t>
  </si>
  <si>
    <t>CHENG, CC; WANN, SS</t>
  </si>
  <si>
    <t>AN APPLICATION OF EROSION PRODUCTIVITY INDEX SIMULATOR TO GRASSLAND WATERSHEDS IN TAIWAN</t>
  </si>
  <si>
    <t>JOURNAL OF THE AGRICULTURAL ASSOCIATION OF CHINA</t>
  </si>
  <si>
    <t>Japanese</t>
  </si>
  <si>
    <t>GRASSLAND; EROSION; PRODUCTIVITY; SIMULATOR</t>
  </si>
  <si>
    <t>Soil productivity decrease is related to the erosion of the soil itself. Cumulative potential productivity of the soil can be calculated measured as the percentage of the potential productivity exhausted to the amount of the erosion soil over a time period. Based upon relationships between the percentage of potential productivity exhausted and the cumulative amount of the soil erosion, soil managers and policymakers may predict the maximum erosion rate according to the potential productivity capacity of the soil set up for a given time period, The erosion-productivity index simulator (EPIS) was developed in USA by using output information from the EPIC package in 1984. The information of EPIS can be used to assist farmers in selecting suitable soil-conserving program. Simulations of EPIC and EPIS have been performed on many test sites of continental region in USA and other countries. Are such simulations applicable to watersheds in Taiwan ? This study evaluates the suitability of such simulations on pasture watersheds in Taiwan. The data files of crop parameters contain the data of growth characteristics and plant breeding tailored to climatic zones in a plant growth model. Pangolagrass is not included in 23 crops listed in the Crop. dat of EPIC. The results of this study provide parameters of the Pangolagrass listed as C 38 in the file of Crop. dat. Insignificant difference between the predicted and the measured yields of Pangolagrass indicated that the EPIC model could be used for watersheds in Taiwan. Types and cost of soil conservation programs can be determined by using simulation information of EPIC. Results of EPIS simulation for various slopes of Pangolagrass watersheds in this study suggests that land slope has a great influence on the erosion-productivity index and this factor should be considered in evaluating glassland development.</t>
  </si>
  <si>
    <t>CHENG, CC (corresponding author), TAIWAN LIVESTOCK RES INST,HSINCHU,TAIWAN.</t>
  </si>
  <si>
    <t>AGR ASSN CHINA</t>
  </si>
  <si>
    <t>TAIPEI</t>
  </si>
  <si>
    <t>14 WENCHOW ST, TAIPEI, TAIWAN</t>
  </si>
  <si>
    <t>0578-1434</t>
  </si>
  <si>
    <t>J AGR ASSOC CHINA</t>
  </si>
  <si>
    <t>J. Agric. Assoc. China</t>
  </si>
  <si>
    <t>LV983</t>
  </si>
  <si>
    <t>WOS:A1993LV98300005</t>
  </si>
  <si>
    <t>Martre, P; Dambreville, A</t>
  </si>
  <si>
    <t>Martre, Pierre; Dambreville, Anaelle</t>
  </si>
  <si>
    <t>A Model of Leaf Coordination to Scale-Up Leaf Expansion from the Organ to the Canopy</t>
  </si>
  <si>
    <t>PLANT PHYSIOLOGY</t>
  </si>
  <si>
    <t>WHEAT TRITICUM-AESTIVUM; WINTER-WHEAT; SPRING WHEAT; HIGH-TEMPERATURE; PLANT-DENSITY; WHOLE-PLANT; DEVELOPMENTAL PROCESSES; ARCHITECTURAL MODEL; SIMULATION-MODEL; AREA EXPANSION</t>
  </si>
  <si>
    <t>Process-based crop growth models are popular tools with which to analyze and understand the impact of crop management, genotype-by-environment interactions, or climate change. The ability to predict leaf area development is critical to predict crop growth, particularly under conditions of limited resources. Here, we aimed at deciphering growth coordination rules between wheat (Triticum aestivum) plant organs (i.e. between leaves within a stem, between laminae and sheaths, and between the mainstem and axillary tillers) to model the dynamics of canopy development. We found a unique relationship between laminae area and leaf rank for the mainstem and its tillers, which was robust across a range of sowing dates and plant densities. Robust relationships between laminae and sheath areas also were found, highlighting the tight control of organ growth within and between phytomers. These relationships identified at the phytomer scale were used to develop a simulation model of leaf area dynamics at the canopy level that was integrated in the wheat model SiriusQuality. The model was then evaluated using several independent experiments. The model accurately predicts leaf area dynamics under different scenarios of nitrogen and water limitations. It accounted for 85%, 64%, and 73% of the variability of the surface area of leaf cohorts, total leaf area index, and total green area index, respectively. The process-based model of the dynamics of leaf area described here is a key element to quantify the value of candidate traits for use in plant breeding and to project the impact of climate change on wheat growth.</t>
  </si>
  <si>
    <t>[Martre, Pierre; Dambreville, Anaelle] Univ Montpellier, Inst Natl Rech Agron, Lab Ecophysiol Plantes Sous Stress Environm, Montpellier SupAgro, F-34060 Montpellier, France</t>
  </si>
  <si>
    <t>Universite de Montpellier; Institut Agro; Montpellier SupAgro; INRAE</t>
  </si>
  <si>
    <t>Martre, P (corresponding author), Univ Montpellier, Inst Natl Rech Agron, Lab Ecophysiol Plantes Sous Stress Environm, Montpellier SupAgro, F-34060 Montpellier, France.</t>
  </si>
  <si>
    <t>pierre.martre@inra.fr</t>
  </si>
  <si>
    <t>Martre, Pierre/AAB-5118-2019; Martre, Pierre/M-5282-2013</t>
  </si>
  <si>
    <t>Martre, Pierre/0000-0002-7419-6558; Dambreville, Anaelle/0000-0003-2746-8060</t>
  </si>
  <si>
    <t>European Union [FP7-613556]</t>
  </si>
  <si>
    <t>This work was supported by the European Union's Seventh Framework Program (FP7/2007-2013; grant no. FP7-613556).</t>
  </si>
  <si>
    <t>AMER SOC PLANT BIOLOGISTS</t>
  </si>
  <si>
    <t>ROCKVILLE</t>
  </si>
  <si>
    <t>15501 MONONA DRIVE, ROCKVILLE, MD 20855 USA</t>
  </si>
  <si>
    <t>0032-0889</t>
  </si>
  <si>
    <t>1532-2548</t>
  </si>
  <si>
    <t>PLANT PHYSIOL</t>
  </si>
  <si>
    <t>Plant Physiol.</t>
  </si>
  <si>
    <t>10.1104/pp.17.00986</t>
  </si>
  <si>
    <t>FS3IU</t>
  </si>
  <si>
    <t>WOS:000419675300055</t>
  </si>
  <si>
    <t>Blanc, G; Charcosset, A; Veyrieras, JB; Gallais, A; Moreau, L</t>
  </si>
  <si>
    <t>Blanc, Guylaine; Charcosset, Alain; Veyrieras, Jean-Baptiste; Gallais, Andre; Moreau, Laurence</t>
  </si>
  <si>
    <t>Marker-assisted selection efficiency in multiple connected populations: a simulation study based on the results of a QTL detection experiment in maize</t>
  </si>
  <si>
    <t>marker-assisted selection; QTL; multiparental designs; maize</t>
  </si>
  <si>
    <t>QUANTITATIVE TRAIT LOCI; RECURRENT SELECTION</t>
  </si>
  <si>
    <t>Many studies already investigated marker-assisted selection (MAS) efficiency but mainly in biparental populations. Connected multiparental populations address a broader diversity and confer a gain of power for QTL detection which must be beneficial for MAS. Our objective was to compare multiparental connected designs to biparental populations taken separately for MAS and phenotypic selection. We first detected QTL for flowering time and grain yield in an experimental maize design involving four parental inbred lines crossed to produce six different biparental populations and confirmed the advantage of multiparental connected designs over biparental populations for QTL detection. Based on these results we performed stochastic simulations to evaluate the expected efficiency of four generations of MAS and phenotypic selection. Different parameters were considered: trait heritability, genetic architecture and whether QTL were assumed to be known or have to be detected. Genetic gains were higher in the multiparental design than on average over the biparental populations considered separately, especially when favourable alleles were equally distributed among parental lines. When QTL detection was included in the simulation process, we found that type I error risk considered for declaring QTL as significant should be adapted to the design. Type I error risks leading to the best response were higher for the biparental populations than for the multiparental design. Besides addressing a broader diversity, multiparental designs increase the power of QTL detection, which reinforces their superiority over biparental designs for MAS. Application of MAS to multiparental designs therefore appears promising to accelerate genetic gain in plant breeding programs.</t>
  </si>
  <si>
    <t>[Blanc, Guylaine; Charcosset, Alain; Veyrieras, Jean-Baptiste; Gallais, Andre; Moreau, Laurence] INRA, CNRS, UMR Genet Vegetale Ferme Moulon, Paris Agrotech,UPS, F-91190 Gif Sur Yvette, France</t>
  </si>
  <si>
    <t>INRAE; Centre National de la Recherche Scientifique (CNRS); Universite Paris Saclay; Universite de Toulouse; Universite Toulouse III - Paul Sabatier</t>
  </si>
  <si>
    <t>Moreau, L (corresponding author), INRA, CNRS, UMR Genet Vegetale Ferme Moulon, Paris Agrotech,UPS, F-91190 Gif Sur Yvette, France.</t>
  </si>
  <si>
    <t>moreau@moulon.inra.fr</t>
  </si>
  <si>
    <t>10.1007/s10681-007-9607-z</t>
  </si>
  <si>
    <t>WOS:000254877800006</t>
  </si>
  <si>
    <t>MUEHLBAUER, FJ; BURNELL, DG; BOGYO, TP; BOGYO, MT</t>
  </si>
  <si>
    <t>SIMULATED COMPARISONS OF SINGLE SEED DESCENT AND BULK POPULATION BREEDING METHODS</t>
  </si>
  <si>
    <t>Two plant breeding methods generally used in breeding self-pollinated crops, the bulk-population (BP) and the single-seed-descent (SSD) methods, were compared by computer simulation to determine which retained the most additive genetic variation after 4 generations of inbreeding. Various levels of fecundity were simulated in the BP method, and various probabilities of plant survival were used in the SSD method simulation. All simulations were done with a hypothetical crop having 7 chromsomes with 6 loci on each and various degrees of linkage. In the F6, the additive genetic variance in the BP method was smaller than that in the SSD method; this difference was attributed to losses in genetic variability in BP during generation advance. Within BP a considerable proportion of the total additive variance originated from within-line variance, as opposed to that which originated from between-line variance. When the inbreeding coefficient was &gt; 0.9, the difference between within-line and between-line variances was considerable. In the SSD method, all additive variance must originate from between-line variance. Fecundity affected the genetic variability in BP, whereas the probability of individual plant survival was important in SSD. When the SD of fecundity was &gt; 25 seeds/plant, progeny from 75% of the original F2 plants were not represented in the population after 4 generations of advance by BP. About the same number of lines were lost after 4 generations when seedling survival dropped below 70% in each generation of advance by SSD. Linkage had little effect on additive genetic variance in either system, unless the 2 lines of the original cross had considerably different sets of alleles.</t>
  </si>
  <si>
    <t>UNIV IDAHO, COLL FORESTRY WILDLIFE &amp; RANGE SCI, MOSCOW, ID 83843 USA; WASHINGTON STATE UNIV, STAT SERV, PULLMAN, WA 99164 USA; WASHINGTON STATE UNIV, DEPT AGRON &amp; SOILS, PULLMAN, WA 99164 USA</t>
  </si>
  <si>
    <t>University of Idaho; Washington State University; Washington State University</t>
  </si>
  <si>
    <t>USDA SEA, PULLMAN, WA 99164 USA.</t>
  </si>
  <si>
    <t>10.2135/cropsci1981.0011183X002100040025x</t>
  </si>
  <si>
    <t>ME189</t>
  </si>
  <si>
    <t>WOS:A1981ME18900023</t>
  </si>
  <si>
    <t>Landau, W; Niemi, J; Nettleton, D</t>
  </si>
  <si>
    <t>Landau, Will; Niemi, Jarad; Nettleton, Dan</t>
  </si>
  <si>
    <t>Fully Bayesian Analysis of RNA-seq Counts for the Detection of Gene Expression Heterosis</t>
  </si>
  <si>
    <t>JOURNAL OF THE AMERICAN STATISTICAL ASSOCIATION</t>
  </si>
  <si>
    <t>CUDA; Empirical Bayes; Graphics processing unit; Hierarchical model; Hybrid vigor; Negative-binomial</t>
  </si>
  <si>
    <t>FALSE DISCOVERY RATE; DIFFERENTIAL EXPRESSION; NULL HYPOTHESES; MAIZE; COMPLEXITY; INFERENCE; HYBRID; MODEL</t>
  </si>
  <si>
    <t>Heterosis, or hybrid vigor, is the enhancement of the phenotype of hybrid progeny relative to their inbred parents. Heterosis is extensively used in agriculture, and the underlying mechanisms are unclear. To investigate the molecular basis of phenotypic heterosis, researchers search tens of thousands of genes for heterosis with respect to expression in the transcriptome. Difficulty arises in the assessment of heterosis due to composite null hypotheses and nonuniform distributions for p-values under these null hypotheses. Thus, we develop a general hierarchical model for count data and a fully Bayesian analysis in which an efficient parallelized Markov chain Monte Carlo algorithm ameliorates the computational burden. We use our method to detect gene expression heterosis in a two-hybrid plant-breeding scenario, both in a real RNA-seq maize dataset and in simulation studies. In the simulation studies, we show our method has well-calibrated posterior probabilities and credible intervals when the model assumed in analysis matches the model used to simulate the data. Although model misspecification can adversely affect calibration, the methodology is still able to accurately rank genes. Finally, we show that hyperparameter posteriors are extremely narrow and an empirical Bayes (eBayes) approach based on posterior means from the fully Bayesian analysis provides virtually equivalent posterior probabilities, credible intervals, and gene rankings relative to the fully Bayesian solution. This evidence of equivalence provides support for the use of eBayes procedures in RNA-seq data analysis if accurate hyperparameter estimates can be obtained. Supplementary materials for this article are available online.</t>
  </si>
  <si>
    <t>[Landau, Will; Niemi, Jarad; Nettleton, Dan] Iowa State Univ, Dept Stat, Ames, IA 50011 USA</t>
  </si>
  <si>
    <t>Iowa State University</t>
  </si>
  <si>
    <t>Niemi, J (corresponding author), Iowa State Univ, Dept Stat, Ames, IA 50011 USA.</t>
  </si>
  <si>
    <t>niemi@iastate.edu</t>
  </si>
  <si>
    <t>Nettleton, Dan/0000-0002-6045-1036; Landau, William/0000-0003-1878-3253; Niemi, Jarad/0000-0002-5079-158X</t>
  </si>
  <si>
    <t>National Institute of General Medical Sciences (NIGMS) of the National Institutes of Health; National Science Foundation/NIGMS Mathematical Biology Program [R01GM109458]</t>
  </si>
  <si>
    <t>National Institute of General Medical Sciences (NIGMS) of the National Institutes of Health(United States Department of Health &amp; Human ServicesNational Institutes of Health (NIH) - USANIH National Institute of General Medical Sciences (NIGMS)); National Science Foundation/NIGMS Mathematical Biology Program</t>
  </si>
  <si>
    <t>This research was supported by National Institute of General Medical Sciences (NIGMS) of the National Institutes of Health and the joint National Science Foundation/NIGMS Mathematical Biology Program under award number R01GM109458. The content is solely the responsibility of the authors and does not necessarily represent the official views of the National Institutes of Health or the National Science Foundation.</t>
  </si>
  <si>
    <t>0162-1459</t>
  </si>
  <si>
    <t>1537-274X</t>
  </si>
  <si>
    <t>J AM STAT ASSOC</t>
  </si>
  <si>
    <t>J. Am. Stat. Assoc.</t>
  </si>
  <si>
    <t>APR 3</t>
  </si>
  <si>
    <t>10.1080/01621459.2018.1497496</t>
  </si>
  <si>
    <t>IE7MZ</t>
  </si>
  <si>
    <t>Green Accepted, Green Submitted</t>
  </si>
  <si>
    <t>WOS:000472559400009</t>
  </si>
  <si>
    <t>Elgorban, AM; Debnath, S; Shakeel, A; Bahkali, AH; Eswaramoorthy, R; Verma, M; Kesari, KK; Sharma, R; Syed, A</t>
  </si>
  <si>
    <t>Elgorban, Abdallah M.; Debnath, Sandip; Shakeel, Adnan; Bahkali, Ali H.; Eswaramoorthy, Rajalakshmanan; Verma, Meenakshi; Kesari, Kavindra Kumar; Sharma, Rohit; Syed, Asad</t>
  </si>
  <si>
    <t>Plant-derived compounds to boost soybean oil quality and stress resistance by modulating Heme Oxygenase-1 protein: A novel technique for ensuring food security</t>
  </si>
  <si>
    <t>SOUTH AFRICAN JOURNAL OF BOTANY</t>
  </si>
  <si>
    <t>Agri -food systems; Food security; Heme Oxygenase-1; MD Simulation; Plant -derived compounds; Soybean; Stress</t>
  </si>
  <si>
    <t>DOCKING</t>
  </si>
  <si>
    <t>There is substantial evidence that drought is one of the most significant abiotic influences on agricultural productivity worldwide. Yet, the production of soybeans, a key agricultural plant, is largely reliant on enough precipitation or availability of water to flourish. This crop is vital to the worldwide food supply and nutritional security. It is sometimes referred to as the gold of the ground It is a multipurpose crop that may be consumed by both human and animals. Soybeans are a vital element in a variety of dishes. Plant breeding may increase the quality of protein and oil and lower the quantity of hazardous toxins. The response of soybean to drought stress has been studied by a vast number of scientists. Changes in osmotic levels, plant growth, and yield reductions are some of the consequences. Taxol, an essential oil-derived compound found in Taxus brevifolia that binds substantially to the Heme Oxygenase-1 protein in soybean with a binding score of -9.67 kcal/mol, aims to make soybean more resistant to drought revealed through in silico simulation studies. This research illustrates the significance of this plant's remarkable tolerance to moisture stress throughout growth. Our study suggests that Taxol is one of the most effective ligands that can increase the stress tolerance of this oil seed crop and enhance the productivity in soybean, with major implications for agri-food systems. (c) 2024 SAAB. Published by Elsevier B.V. All rights are reserved, including those for text and data mining, AI training, and similar technologies.</t>
  </si>
  <si>
    <t>[Elgorban, Abdallah M.; Bahkali, Ali H.; Syed, Asad] King Saud Univ, Coll Sci, Dept Bot &amp; Microbiol, PO 2455, Riyadh 11451, Saudi Arabia; [Debnath, Sandip] Visva Bharati Univ, Inst Agr, Dept Genet &amp; Plant Breeding, Sriniketan, W Bengal, India; [Shakeel, Adnan] Aligarh Muslim Univ, Dept Bot, Sect Plant Pathol &amp; Nematol, Aligarh 202002, Uttar Pradesh, India; [Eswaramoorthy, Rajalakshmanan] Saveetha Inst Med &amp; Tech Sci SIMATS, Saveetha Dent Coll &amp; Hosp, Ctr Mol Med &amp; Diagnost COMMAND, Dept Biochem, Chennai 600077, India; [Verma, Meenakshi] Chandigarh Univ, Univ Ctr Res &amp; Dev, Dept Chem, Mohali, India; [Kesari, Kavindra Kumar] Aalto Univ, Sch Sci, Dept Appl Phys, Espoo, Finland; [Sharma, Rohit] Banaras Hindu Univ, Inst Med Sci, Fac Ayurveda, Dept Rasa Shastra &amp; Bhaishajya Kalpana, Varanasi 221005, Uttar Pradesh, India</t>
  </si>
  <si>
    <t>King Saud University; Visva Bharati University; Aligarh Muslim University; Saveetha Institute of Medical &amp; Technical Science; Saveetha Dental College &amp; Hospital; Chandigarh University; Aalto University; Banaras Hindu University (BHU)</t>
  </si>
  <si>
    <t>Sharma, R (corresponding author), Banaras Hindu Univ, Inst Med Sci, Fac Ayurveda, Dept Rasa Shastra &amp; Bhaishajya Kalpana, Varanasi 221005, Uttar Pradesh, India.</t>
  </si>
  <si>
    <t>rohitsharma@bhu.ac.in</t>
  </si>
  <si>
    <t>Kesari, Kavindra/F-9541-2010; Debnath, Sandip/AAT-8148-2020; Bahkali, Ali/E-3720-2014; Shakeel, Adnan/AAO-7034-2021; Sharma, Rohit/AAW-8347-2020; Elgorban, Dr. Abdallah/C-6000-2013</t>
  </si>
  <si>
    <t>Sharma, Rohit/0000-0002-3682-3573; shakeel, Adnan/0000-0002-7102-2325; Elgorban, Dr. Abdallah/0000-0003-3664-7853; Debnath, Sandip/0000-0002-0234-6633</t>
  </si>
  <si>
    <t>King Saud University, Riyadh, Saudi Arabia [RSP2024R56]</t>
  </si>
  <si>
    <t>King Saud University, Riyadh, Saudi Arabia(King Saud University)</t>
  </si>
  <si>
    <t>The authors appreciate the Researchers Supporting Project number (RSP2024R56) , King Saud University, Riyadh, Saudi Arabia. All authors acknowledge their specific departments for the deportment of this study.</t>
  </si>
  <si>
    <t>0254-6299</t>
  </si>
  <si>
    <t>1727-9321</t>
  </si>
  <si>
    <t>S AFR J BOT</t>
  </si>
  <si>
    <t>S. Afr. J. Bot.</t>
  </si>
  <si>
    <t>10.1016/j.sajb.2024.05.007</t>
  </si>
  <si>
    <t>TT0Y3</t>
  </si>
  <si>
    <t>WOS:001243404000001</t>
  </si>
  <si>
    <t>Zhang, J; Li, L; Lv, MM; Wang, YD; Qiu, WZ; An, Y; Zhang, Y; Wan, YX; Xu, Y; Chen, JC</t>
  </si>
  <si>
    <t>Zhang, Jin; Li, Ling; Lv, Mingming; Wang, Yidi; Qiu, Wenzhe; An, Yuan; Zhang, Ye; Wan, Yuxuan; Xu, Yu; Chen, Juncong</t>
  </si>
  <si>
    <t>An Improved Bayesian Shrinkage Regression Algorithm for Genomic Selection</t>
  </si>
  <si>
    <t>GENES</t>
  </si>
  <si>
    <t>genomic selection; polygenic background; Bayesian; mixed linear model; GEBV</t>
  </si>
  <si>
    <t>WIDE ASSOCIATION; PREDICTIONS</t>
  </si>
  <si>
    <t>Currently a hot topic, genomic selection (GS) has consistently provided powerful support for breeding studies and achieved more comprehensive and reliable selection in animal and plant breeding. GS estimates the effects of all single nucleotide polymorphisms (SNPs) and thereby predicts the genomic estimation of breeding value (GEBV), accelerating breeding progress and overcoming the limitations of conventional breeding. The successful application of GS primarily depends on the accuracy of the GEBV. Adopting appropriate advanced algorithms to improve the accuracy of the GEBV is time-saving and efficient for breeders, and the available algorithms can be further improved in the big data era. In this study, we develop a new algorithm under the Bayesian Shrinkage Regression (BSR, which is called BayesA) framework, an improved expectation-maximization algorithm for BayesA (emBAI). The emBAI algorithm first corrects the polygenic and environmental noise and then calculates the GEBV by emBayesA. We conduct two simulation experiments and a real dataset analysis for flowering time-related Arabidopsis phenotypes to validate the new algorithm. Compared to established methods, emBAI is more powerful in terms of prediction accuracy, mean square error (MSE), mean absolute error (MAE), the area under the receiver operating characteristic curve (AUC) and correlation of prediction in simulation studies. In addition, emBAI performs well under the increasing genetic background. The analysis of the Arabidopsis real dataset further illustrates the benefits of emBAI for genomic prediction according to prediction accuracy, MSE, MAE and correlation of prediction. Furthermore, the new method shows the advantages of significant loci detection and effect coefficient estimation, which are confirmed by The Arabidopsis Information Resource (TAIR) gene bank. In conclusion, the emBAI algorithm provides powerful support for GS in high-dimensional genomic datasets.</t>
  </si>
  <si>
    <t>[Zhang, Jin; Li, Ling; Lv, Mingming; Wang, Yidi; Qiu, Wenzhe; An, Yuan; Zhang, Ye] Nanjing Agr Univ, Coll Sci, Nanjing 210095, Peoples R China; [Li, Ling] Sun Yat sen Univ, Sch Publ Hlth Shenzhen, Shenzhen 518107, Peoples R China; [Wan, Yuxuan] Jiangxi Univ Finance &amp; Econ, Sch Business Adm, Nanchang 330013, Peoples R China; [Xu, Yu] Freshwater Fisheries Res Inst Jiangsu Prov, Nanjing 210017, Peoples R China; [Chen, Juncong] Nanjing Agr Univ, Coll Finance, Nanjing 210095, Peoples R China</t>
  </si>
  <si>
    <t>Nanjing Agricultural University; Sun Yat Sen University; Jiangxi University of Finance &amp; Economics; Nanjing Agricultural University</t>
  </si>
  <si>
    <t>Chen, JC (corresponding author), Nanjing Agr Univ, Coll Finance, Nanjing 210095, Peoples R China.</t>
  </si>
  <si>
    <t>jcchen@njau.edu.cn</t>
  </si>
  <si>
    <t>liu, li/HGC-0900-2022; lv, mingming/C-2891-2013</t>
  </si>
  <si>
    <t>National Natural Science Foundation of China; Ministry of Education of Humanities and Social Science Project; Postdoctoral Science Foundation of Jiang Su; [32270694]; [32070688]; [21YJC790011]; [2020Z330]</t>
  </si>
  <si>
    <t>National Natural Science Foundation of China(National Natural Science Foundation of China (NSFC)); Ministry of Education of Humanities and Social Science Project; Postdoctoral Science Foundation of Jiang Su; ; ; ;</t>
  </si>
  <si>
    <t>The work was supported by the National Natural Science Foundation of China (grant numbers 32270694 and 32070688), Supported by the Ministry of Education of Humanities and Social Science Project (grant numbers 21YJC790011) and the Postdoctoral Science Foundation of Jiang Su (grant number 2020Z330).</t>
  </si>
  <si>
    <t>2073-4425</t>
  </si>
  <si>
    <t>GENES-BASEL</t>
  </si>
  <si>
    <t>Genes</t>
  </si>
  <si>
    <t>10.3390/genes13122193</t>
  </si>
  <si>
    <t>7E0RG</t>
  </si>
  <si>
    <t>WOS:000900886200001</t>
  </si>
  <si>
    <t>Willocquet, L; Rossi, V; Savary, S</t>
  </si>
  <si>
    <t>Willocquet, Laetitia; Rossi, Vittorio; Savary, Serge</t>
  </si>
  <si>
    <t>Simulation modelling of yield losses caused by wheat stem rust</t>
  </si>
  <si>
    <t>PLANT PATHOLOGY</t>
  </si>
  <si>
    <t>damage mechanism; process-based model; Puccinia graminis f; sp; tritici; stem rust; wheat; yield loss</t>
  </si>
  <si>
    <t>CROP PRODUCTION; WINTER-WHEAT; LEAF RUST; CLIMATE; GROWTH; MANAGEMENT; GROUNDNUT; EMERGENCE; DISEASES; HEALTH</t>
  </si>
  <si>
    <t>Stem rust, or black rust, of wheat, caused by Puccinia graminis f. sp. tritici, has recently re-emerged in several parts of the world, with epidemics occurring in eastern Africa, as well as northern and southern Europe. Damage mechanisms from disease dynamically affect the physiology of the crop as it grows and develops, and as the epidemic progresses, leading to yield losses in the stem rust-diseased wheat stand. Process-based agrophysiological models that include disease-induced damage mechanisms can help to better understand the physiological processes leading to yield losses, and to inform strategic decisions such as breeding strategies. Such models have not been developed for wheat stem rust so far. Two damage mechanisms for stem rust, light stealing and assimilate diversion, were incorporated in the agrophysiological simulation model WHEATPEST. The model, tested from experimental field data retrieved from the literature, provides a satisfactory representation of the system, although consistently underestimates relative yield losses by about 6.9%, resulting in relative yield losses between 17% and 56%. Analyses highlight the importance of the diversion of assimilates toward the pathogen in the magnitude of yield loss. Considering only the reduction of green leaf area would underestimate damage from stem rust by at least threefold. The analysis also shows the importance of the dynamic interplay between disease and crop growth, especially the dynamics of leaf area, on yield loss. Directions to consider additional damage mechanisms are proposed, and perspectives for future research, especially in relation to plant breeding strategies under climate change, are offered.</t>
  </si>
  <si>
    <t>[Willocquet, Laetitia; Savary, Serge] Univ Toulouse, INRAE, UMR AGIR, F-31320 Castanet Tolosan, France; [Rossi, Vittorio] Univ Cattolica Sacro Cuore, DIPROVES, Piacenza, Italy</t>
  </si>
  <si>
    <t>Universite de Toulouse; INRAE; Catholic University of the Sacred Heart</t>
  </si>
  <si>
    <t>Willocquet, L (corresponding author), Univ Toulouse, INRAE, UMR AGIR, F-31320 Castanet Tolosan, France.</t>
  </si>
  <si>
    <t>Laetitia.willocquet@inrae.fr</t>
  </si>
  <si>
    <t>INRA SmaCH Metaprogramme</t>
  </si>
  <si>
    <t>This work was initiated under the Polirisk project funded by the INRA SmaCH Metaprogramme, during which F. Jankowiak contributed to the first steps of this work as part of his MSc internship. The authors wish to acknowledge the two anonymous reviewers whose comments allowed improvement to the manuscript.</t>
  </si>
  <si>
    <t>0032-0862</t>
  </si>
  <si>
    <t>1365-3059</t>
  </si>
  <si>
    <t>PLANT PATHOL</t>
  </si>
  <si>
    <t>Plant Pathol.</t>
  </si>
  <si>
    <t>10.1111/ppa.13488</t>
  </si>
  <si>
    <t>OCT 2021</t>
  </si>
  <si>
    <t>ZS6CY</t>
  </si>
  <si>
    <t>WOS:000708698800001</t>
  </si>
  <si>
    <t>Wu, RL; Gallo-Meagher, M; Littell, RC; Zeng, ZB</t>
  </si>
  <si>
    <t>A general polyploid model for analyzing gene segregation in outcrossing tetraploid species</t>
  </si>
  <si>
    <t>DOUBLE REDUCTION; CYTOGENETIC ANALYSES; LINKAGE ANALYSIS; AUTOTETRAPLOIDS; CONFIGURATIONS; AUTOPOLYPLOIDS; ORGANIZATION; ANGIOSPERMS; INHERITANCE; CHROMOSOMES</t>
  </si>
  <si>
    <t>Polyploidy has played an important role in higher plant evolution and applied plant breeding. Polyploids are commonly categorized as allopolyploids resulting from the increase of chromosome number through hybridization and subsequent chromosome doubling or autopolyploids due to chromosome doubling of the same genome. Allopolyploids undergo bivalent pairing at meiosis because only homologous chromosomes pair. For autopolyploids, however, all homologous chromosomes can pair at the same time so that multivalents and, therefore, double reductions are formed. In this article, we use a maximum-likelihood method to develop a general polyploid model for estimating gene segregation patterns from molecular markers in a full-sib family derived from an arbitrary polyploid combining meiotic behaviors of both bivalent and multivalent pairings. Two meiotic parameters, one describing the preference of homologous chromosome pairing (expressed as the preferential pairing factor) typical of allopolyploids and the other specifying the degree Of double reduction of autopolyploids, are estimated. The type of molecular markers used can be fully informative vs. partially informative or dominant vs. codominant. Simulation studies show that our polyploid model is well suited to estimate the preferential pairing factor and the frequency of double reduction at meiosis, which should help to characterize gene segregation in the progeny of autopolyploids. The implications of this model for linkage mapping, population genetic studies, and polyploid classification are discussed.</t>
  </si>
  <si>
    <t>Univ Florida, Dept Stat, Gainesville, FL 32611 USA; Univ Florida, Dept Agron, Inst Food &amp; Agr Sci, Gainesville, FL 32611 USA; N Carolina State Univ, Dept Stat, Program Stat Genet, Raleigh, NC 27695 USA</t>
  </si>
  <si>
    <t>State University System of Florida; University of Florida; State University System of Florida; University of Florida; North Carolina State University</t>
  </si>
  <si>
    <t>Wu, RL (corresponding author), Univ Florida, Dept Stat, 533 McCarty Hall C, Gainesville, FL 32611 USA.</t>
  </si>
  <si>
    <t>485GJ</t>
  </si>
  <si>
    <t>WOS:000171744900037</t>
  </si>
  <si>
    <t>Picheny, V; Casadebaig, P; Trépos, R; Faivre, R; Da Silva, D; Vincourt, P; Costes, E</t>
  </si>
  <si>
    <t>Picheny, Victor; Casadebaig, Pierre; Trepos, Ronan; Faivre, Robert; Da Silva, David; Vincourt, Patrick; Costes, Evelyne</t>
  </si>
  <si>
    <t>Using numerical plant models and phenotypic correlation space to design achievable ideotypes</t>
  </si>
  <si>
    <t>PLANT CELL AND ENVIRONMENT</t>
  </si>
  <si>
    <t>drought; gravity</t>
  </si>
  <si>
    <t>QUANTITATIVE TRAIT LOCI; SOYBEAN SEED YIELD; ARCHITECTURAL DEVELOPMENT; BRANCHING PATTERNS; GENOMIC SELECTION; GENETIC ALGORITHM; LEAF EXPANSION; WATER-DEFICIT; TRADE-OFFS; CROP</t>
  </si>
  <si>
    <t>Numerical plant models can predict the outcome of plant traits modifications resulting from genetic variations, on plant performance, by simulating physiological processes and their interaction with the environment. Optimization methods complement those models to design ideotypes, that is, ideal values of a set of plant traits, resulting in optimal adaptation for given combinations of environment and management, mainly through the maximization of performance criteria (e.g. yield and light interception). As use of simulation models gains momentum in plant breeding, numerical experiments must be carefully engineered to provide accurate and attainable results, rooting them in biological reality. Here, we propose a multi-objective optimization formulation that includes a metric of performance, returned by the numerical model, and ametric of feasibility, accounting for correlations between traits based on field observations. We applied this approach to two contrasting models: a process-based crop model of sunflower and a functional-structural plant model of apple trees. In both cases, the method successfully characterized key plant traits and identified a continuum of optimal solutions, ranging from the most feasible to the most efficient. The present study thus provides successful proof of concept for this enhanced modelling approach, which identified paths for desirable trait modification, including direction and intensity.</t>
  </si>
  <si>
    <t>[Picheny, Victor; Trepos, Ronan; Faivre, Robert] INRA, MIAT UR875, F-31326 Castanet Tolosan, France; [Casadebaig, Pierre] INRA, AGIR UMR1248, F-31326 Castanet Tolosan, France; [Da Silva, David; Costes, Evelyne] INRA, Montpellier SupAgro, AGAP UMR1334, CIRAD, F-34060 Montpellier, France; [Vincourt, Patrick] INRA, LIPM UMR441, F-31326 Castanet Tolosan, France</t>
  </si>
  <si>
    <t>INRAE; INRAE; CIRAD; INRAE; Institut Agro; Montpellier SupAgro; INRAE</t>
  </si>
  <si>
    <t>Casadebaig, P (corresponding author), INRA, AGIR UMR1248, F-31326 Castanet Tolosan, France.</t>
  </si>
  <si>
    <t>pierre.casadebaig@inra.fr</t>
  </si>
  <si>
    <t>Casadebaig, Pierre/AAL-3307-2020; VINCOURT, Patrick/HJY-2663-2023</t>
  </si>
  <si>
    <t>INRA Plant Biology and Breeding department; French Ministry of Research [ANR SUNRISE ANR-11-BTBR-0005]</t>
  </si>
  <si>
    <t>INRA Plant Biology and Breeding department; French Ministry of Research(Ministry of Research, France)</t>
  </si>
  <si>
    <t>The authors are grateful to the students (Ewen Gery, Bertrand Haquin, Claire Barbet-Massin) and staff from INRA and ENSAT (Colette Quinquiry, Michel Labarrere, Pierre Maury) and Terres Inovia (Pascal Fauvin, Philippe Christante, Andre Estragnat, Emmanuelle Mestries) that helped to constitute the phenotypic database, helped in modelling and simulation (RECORD team from INRA, Helene Raynal, Eric Casellas, Gauthier Quesnel) and provided climatic datasets (AgroClim team from INRA). We also thank V. Segura, S. Martinez and G. Garcia for apple tree phenotyping, the OpenAlea team for their support in model development and L. Han for the first step of sensitivity analyses. We are also grateful to Jennifer Mach and Shawn Carlson for their insightful inputs while editing the manuscript. Grants were provided by INRA Plant Biology and Breeding department and the French Ministry of Research (ANR SUNRISE ANR-11-BTBR-0005).</t>
  </si>
  <si>
    <t>0140-7791</t>
  </si>
  <si>
    <t>1365-3040</t>
  </si>
  <si>
    <t>PLANT CELL ENVIRON</t>
  </si>
  <si>
    <t>Plant Cell Environ.</t>
  </si>
  <si>
    <t>10.1111/pce.13001</t>
  </si>
  <si>
    <t>FD8AD</t>
  </si>
  <si>
    <t>Green Published, Green Submitted</t>
  </si>
  <si>
    <t>WOS:000407746600021</t>
  </si>
  <si>
    <t>Li, YL; Wen, WL; Fan, JC; Gou, WB; Gu, SH; Lu, XJ; Yu, ZT; Wang, XD; Guo, XY</t>
  </si>
  <si>
    <t>Li, Yinglun; Wen, Weiliang; Fan, Jiangchuan; Gou, Wenbo; Gu, Shenghao; Lu, Xianju; Yu, Zetao; Wang, Xiaodong; Guo, Xinyu</t>
  </si>
  <si>
    <t>Multi-Source Data Fusion Improves Time-Series Phenotype Accuracy in Maize under a Field High-Throughput Phenotyping Platform</t>
  </si>
  <si>
    <t>PLANT PHENOMICS; 3D; REGISTRATION</t>
  </si>
  <si>
    <t>The field phenotyping platforms that can obtain high-throughput and time-series phenotypes of plant populations at the 3-dimensional level are crucial for plant breeding and management. However, it is difficult to align the point cloud data and extract accurate phenotypic traits of plant populations. In this study, high-throughput, time-series raw data of field maize populations were collected using a field railbased phenotyping platform with light detection and ranging (LiDAR) and an RGB (red, green, and blue) camera. The orthorectified images and LiDAR point clouds were aligned via the direct linear transformation algorithm. On this basis, time-series point clouds were further registered by the time-series image guidance. The cloth simulation filter algorithm was then used to remove the ground points. Individual plants and plant organs were segmented from maize population by fast displacement and region growth algorithms. The plant heights of 13 maize cultivars obtained using the multi-source fusion data were highly correlated with the manual measurements (R2 = 0.98), and the accuracy was higher than only using one source point cloud data (R2 = 0.93). It demonstrates that multi-source data fusion can effectively improve the accuracy of time series phenotype extraction, and rail-based field phenotyping platforms can be a practical tool for plant growth dynamic observation of phenotypes in individual plant and organ scales.</t>
  </si>
  <si>
    <t>[Li, Yinglun; Wen, Weiliang; Fan, Jiangchuan; Gou, Wenbo; Gu, Shenghao; Lu, Xianju; Guo, Xinyu] Beijing Acad Agr &amp; Forestry Sci, Informat Technol Res Ctr, Beijing 100097, Peoples R China; [Li, Yinglun; Wen, Weiliang; Fan, Jiangchuan; Gou, Wenbo; Gu, Shenghao; Lu, Xianju; Yu, Zetao; Wang, Xiaodong; Guo, Xinyu] Natl Engn Res Ctr Informat Technol Agr, Beijing Key Lab Digital Plant, Beijing 100097, Peoples R China</t>
  </si>
  <si>
    <t>Beijing Academy of Agriculture &amp; Forestry Sciences (BAAFS); Beijing Academy of Agriculture &amp; Forestry Sciences (BAAFS)</t>
  </si>
  <si>
    <t>Guo, XY (corresponding author), Beijing Acad Agr &amp; Forestry Sci, Informat Technol Res Ctr, Beijing 100097, Peoples R China.;Guo, XY (corresponding author), Natl Engn Res Ctr Informat Technol Agr, Beijing Key Lab Digital Plant, Beijing 100097, Peoples R China.</t>
  </si>
  <si>
    <t>guoxy73@163.com</t>
  </si>
  <si>
    <t>Yinlun, Li/JOK-4440-2023; Fan, Jiangchuan/IAN-8426-2023</t>
  </si>
  <si>
    <t>Wen, Weiliang/0000-0001-7184-5121</t>
  </si>
  <si>
    <t>National Natural Science Foundation of China [32071891, 31871519]; Construction of Collaborative Innovation Center of Beijing Academy of Agricultural and Forestry Sciences [KJCX201917]; China Agriculture Research System of MOF and MARA</t>
  </si>
  <si>
    <t>National Natural Science Foundation of China(National Natural Science Foundation of China (NSFC)); Construction of Collaborative Innovation Center of Beijing Academy of Agricultural and Forestry Sciences; China Agriculture Research System of MOF and MARA</t>
  </si>
  <si>
    <t>This work was partially supported by the National Natural Science Foundation of China (Nos. 32071891 and 31871519), the Construction of Collaborative Innovation Center of Beijing Academy of Agricultural and Forestry Sciences (No. KJCX201917), and the China Agriculture Research System of MOF and MARA.</t>
  </si>
  <si>
    <t>10.34133/plantphenomics.0043</t>
  </si>
  <si>
    <t>J1RY8</t>
  </si>
  <si>
    <t>WOS:001007465400001</t>
  </si>
  <si>
    <t>Clarke, GPY; Stefanova, KT</t>
  </si>
  <si>
    <t>Clarke, G. Peter Y.; Stefanova, Katia T.</t>
  </si>
  <si>
    <t>OPTIMAL DESIGN FOR EARLY-GENERATION PLANT-BREEDING TRIALS WITH UNREPLICATED OR PARTIALLY REPLICATED TEST LINES</t>
  </si>
  <si>
    <t>AUSTRALIAN &amp; NEW ZEALAND JOURNAL OF STATISTICS</t>
  </si>
  <si>
    <t>error degrees of freedom; expected genetic gain; fixed and random effects; optimal design; shrinkage</t>
  </si>
  <si>
    <t>MODIFIED AUGMENTED DESIGN; YIELD TRIALS; VARIETY; SELECTION</t>
  </si>
  <si>
    <t>Some subtle difficulties in optimal design are highlighted by the example of unreplicated field trials laid out on plots with spatial errors defined by uniformity trials. There is a dual problem of the arrangement of control plots and maximizing the number of test-line entries. A simulation study is conducted by randomizing the allocation of genotypes to the plots of four uniformity trials in accordance with the rules defining a number of competing designs. Results are summarized in terms of the SE ratio, which reflects the improvement in precision of a given design relative to a completely random design on the same plots. The definition of the SE ratio overcomes problems induced by differential shrinkage and consequent precision of test and control lines. A general result applying to all designs shows a curvilinear improvement in SE ratio with increasing error degrees of freedom of the design. The actual arrangement of check plots is of less importance than their increasing number, which contributes to increasing error degrees of freedom. Overall measures, including expected genetic gain, are used to illustrate the choice of a balance between the total number of test-line entries and the error degrees of freedom.</t>
  </si>
  <si>
    <t>[Stefanova, Katia T.] Univ Western Australia, UWA Inst Agr, Crawley, WA 6009, Australia; [Clarke, G. Peter Y.] Dept Agr &amp; Food WA, S Perth, WA 6151, Australia</t>
  </si>
  <si>
    <t>University of Western Australia; Government of Western Australia; Department of Agriculture &amp; Food - Western Australia</t>
  </si>
  <si>
    <t>Stefanova, KT (corresponding author), Univ Western Australia, UWA Inst Agr, M082,35 Stirling Highway, Crawley, WA 6009, Australia.</t>
  </si>
  <si>
    <t>katia.stefanova@uwa.edu.au</t>
  </si>
  <si>
    <t>Grains Research and Development Corporation of Australia</t>
  </si>
  <si>
    <t>Grains Research and Development Corporation of Australia(Grains R&amp;D Corp)</t>
  </si>
  <si>
    <t>The contributions of the associate editor and referees have added substantially to the clarity of this paper, and this is greatly appreciated. The authors thank Robyn McLean and Iain Barclay for providing the uniformity trials data, and Mario D'Antuono for expertise in computing. The financial support of the Grains Research and Development Corporation of Australia is gratefully acknowledged.</t>
  </si>
  <si>
    <t>1369-1473</t>
  </si>
  <si>
    <t>1467-842X</t>
  </si>
  <si>
    <t>AUST NZ J STAT</t>
  </si>
  <si>
    <t>Aust. N. Z. J. Stat.</t>
  </si>
  <si>
    <t>10.1111/j.1467-842X.2011.00642.x</t>
  </si>
  <si>
    <t>914AB</t>
  </si>
  <si>
    <t>WOS:000301918200004</t>
  </si>
  <si>
    <t>Santos, JPR; Pereira, HD; Von Pinho, RG; Pires, LPM; Camargos, RB; Balestre, M</t>
  </si>
  <si>
    <t>Santos, J. P. R.; Pereira, H. D.; Von Pinho, R. G.; Pires, L. P. M.; Camargos, R. B.; Balestre, M.</t>
  </si>
  <si>
    <t>Genome-wide prediction of maize single-cross performance, considering non-additive genetic effects</t>
  </si>
  <si>
    <t>GENETICS AND MOLECULAR RESEARCH</t>
  </si>
  <si>
    <t>Plant breeding; Epistasis; Heterosis; Bayesian models</t>
  </si>
  <si>
    <t>QUANTITATIVE TRAITS; HYBRID PERFORMANCE; REGRESSION; SELECTION; MODELS; INFORMATION; PROSPECTS; PLANT</t>
  </si>
  <si>
    <t>The prediction of single-cross hybrids in maize is a promising technique for optimizing the use of financial resources in a breeding program. This study aimed to evaluate Genomic Best Linear Unbiased Predictors models for hybrid prediction and compare them with the Bayesian Ridge Regression, Bayes A, Bayesian LASSO, Bayes C, Bayes B, and Reproducing Kernel Hilbert Spaces Regression models, with inclusion or absence of non-additive effects under three heritability scenarios. Data from a maize germplasm bank belonging to USDA were used to determine the effects of molecular markers, which were considered to be parametric, to build 400 single-cross hybrids between two line groups via simulation. The following parameters were used to compare the models: predictive ability, estimation of variance components, heritability of genetic effects present in all situations, and the sum of squares of the predicted errors. The models responded positively when dominance effects were included in non-additive models, with all models tending to show an increase in the values of heritability parameters under all scenarios. Differences occur between models depending on the heritability range considered. Estimates of additive and dominant effects were better than estimates of epistatic effects. Estimates increased in accuracy for all models when non-additive effects for maize cob weight were considered.</t>
  </si>
  <si>
    <t>[Santos, J. P. R.] Univ Fed Lavras, Programa Posgrad Genet &amp; Melhoramento Plantas, Lavras, MG, Brazil; [Pereira, H. D.; Von Pinho, R. G.; Pires, L. P. M.; Camargos, R. B.] Univ Fed Lavras, Programa Posgrad Fitotecnia, Lavras, MG, Brazil; [Balestre, M.] Univ Fed Lavras, Programa Posgrad Estat &amp; Expt Agr, Lavras, MG, Brazil</t>
  </si>
  <si>
    <t>Universidade Federal de Lavras; Universidade Federal de Lavras; Universidade Federal de Lavras</t>
  </si>
  <si>
    <t>Balestre, M (corresponding author), Univ Fed Lavras, Programa Posgrad Estat &amp; Expt Agr, Lavras, MG, Brazil.</t>
  </si>
  <si>
    <t>marciobalestre@dex.ufla.br</t>
  </si>
  <si>
    <t>dos Santos, Jhonathan/AAF-7570-2019</t>
  </si>
  <si>
    <t>Coordination for the Improvement of Higher Education Personnel (CAPES); National Council for Scientific and Technological Development (CNPq)</t>
  </si>
  <si>
    <t>Coordination for the Improvement of Higher Education Personnel (CAPES)(Coordenacao de Aperfeicoamento de Pessoal de Nivel Superior (CAPES)); National Council for Scientific and Technological Development (CNPq)(Conselho Nacional de Desenvolvimento Cientifico e Tecnologico (CNPQ))</t>
  </si>
  <si>
    <t>Research supported by the Coordination for the Improvement of Higher Education Personnel (CAPES) and the National Council for Scientific and Technological Development (CNPq).</t>
  </si>
  <si>
    <t>FUNPEC-EDITORA</t>
  </si>
  <si>
    <t>RIBEIRAO PRETO</t>
  </si>
  <si>
    <t>RUA FLORIANO PEIXOTO 2444, ALTO DA BOA VISTA, RIBEIRAO PRETO, SP 00000, BRAZIL</t>
  </si>
  <si>
    <t>1676-5680</t>
  </si>
  <si>
    <t>GENET MOL RES</t>
  </si>
  <si>
    <t>Genet. Mol. Res.</t>
  </si>
  <si>
    <t>10.4238/2015.December.23.35</t>
  </si>
  <si>
    <t>DF8DN</t>
  </si>
  <si>
    <t>WOS:000371587400123</t>
  </si>
  <si>
    <t>Grafahrend-Belau, E; Schreiber, F; Koschützki, D; Junker, BH</t>
  </si>
  <si>
    <t>Grafahrend-Belau, Eva; Schreiber, Falk; Koschuetzki, Dirk; Junker, Bjoern H.</t>
  </si>
  <si>
    <t>Flux Balance Analysis of Barley Seeds: A Computational Approach to Study Systemic Properties of Central Metabolism</t>
  </si>
  <si>
    <t>ADP-GLUCOSE PYROPHOSPHORYLASE; STRONGLY DECREASED EXPRESSION; ORTHO-PHOSPHATE DIKINASE; PHOSPHOENOLPYRUVATE CARBOXYLASE; STARCH SYNTHESIS; ORTHOPHOSPHATE DIKINASE; GENE-EXPRESSION; PYROPHOSPHATE-FRUCTOSE-6-PHOSPHATE PHOSPHOTRANSFERASE; MOLECULAR CHARACTERIZATION; DEVELOPING GRAINS</t>
  </si>
  <si>
    <t>The accumulation of storage compounds is an important aspect of cereal seed metabolism. Due to the agronomical importance of the storage reserves of starch, protein, and oil, the understanding of storage metabolism is of scientific interest, with practical applications in agronomy and plant breeding. To get insight into storage patterning in developing cereal seed in response to environmental and genetic perturbation, a computational analysis of seed metabolism was performed. A metabolic network of primary metabolism in the developing endosperm of barley (Hordeum vulgare), a model plant for temperate cereals, was constructed that includes 257 biochemical and transport reactions across four different compartments. The model was subjected to flux balance analysis to study grain yield and metabolic flux distributions in response to oxygen depletion and enzyme deletion. In general, the simulation results were found to be in good agreement with the main biochemical properties of barley seed storage metabolism. The predicted growth rate and the active metabolic pathway patterns under anoxic, hypoxic, and aerobic conditions predicted by the model were in accordance with published experimental results. In addition, the model predictions gave insight into the potential role of inorganic pyrophosphate metabolism to maintain seed metabolism under oxygen deprivation.</t>
  </si>
  <si>
    <t>[Grafahrend-Belau, Eva; Schreiber, Falk; Koschuetzki, Dirk; Junker, Bjoern H.] Leibniz Inst Plant Genet &amp; Crop Plant Res, D-06466 Gatersleben, Germany; [Schreiber, Falk] Univ Halle Wittenberg, D-06099 Halle, Germany; [Koschuetzki, Dirk] Furtwangen Univ Appl Sci, D-78120 Furtwangen, Germany</t>
  </si>
  <si>
    <t>Leibniz Institut fur Pflanzengenetik und Kulturpflanzenforschung; Martin Luther University Halle Wittenberg</t>
  </si>
  <si>
    <t>Grafahrend-Belau, E (corresponding author), Leibniz Inst Plant Genet &amp; Crop Plant Res, D-06466 Gatersleben, Germany.</t>
  </si>
  <si>
    <t>grafahr@ipk-gatersleben.de</t>
  </si>
  <si>
    <t>Grafahrend-Belau, Eva/0000-0002-1938-3908</t>
  </si>
  <si>
    <t>German Ministry of Education and Research [031270-6A, 031504-4A]</t>
  </si>
  <si>
    <t>German Ministry of Education and Research(Federal Ministry of Education &amp; Research (BMBF))</t>
  </si>
  <si>
    <t>This work was supported by the German Ministry of Education and Research (grant nos. 031270-6A and 031504-4A).</t>
  </si>
  <si>
    <t>10.1104/pp.108.129635</t>
  </si>
  <si>
    <t>391VE</t>
  </si>
  <si>
    <t>WOS:000262261500057</t>
  </si>
  <si>
    <t>Weber, SE; Roscher-Ehrig, L; Kox, T; Abbadi, A; Stahl, A; Snowdon, RJ</t>
  </si>
  <si>
    <t>Weber, Sven E.; Roscher-Ehrig, Lennard; Kox, Tobias; Abbadi, Amine; Stahl, Andreas; Snowdon, Rod J.</t>
  </si>
  <si>
    <t>Genomic prediction in Brassica napus: evaluating the benefit of imputed whole-genome sequencing data</t>
  </si>
  <si>
    <t>GENOME</t>
  </si>
  <si>
    <t>genomic prediction; imputation; whole-genome sequencing; SNP markers</t>
  </si>
  <si>
    <t>MARKER-ASSISTED SELECTION; GENOTYPE IMPUTATION; MISSING HERITABILITY; SNP ARRAY; ACCURACY; POPULATIONS; DENSITY; TRAITS; WHEAT; OPTIMIZATION</t>
  </si>
  <si>
    <t>Advances in sequencing technology allow whole plant genomes to be sequenced with high quality. Combining genotypic and phenotypic data in genomic prediction helps breeders to select crossing partners in partially phenotyped populations. In plant breeding programs, the cost of sequencing entire breeding populations still exceeds available genotyping budgets. Hence, the method for genotyping is still mainly single nucleotide polymorphism (SNP) arrays; however, arrays are unable to assess the entire genome- and population-wide diversity. A compromise involves genotyping the entire population using an SNP array and a subset of the population with whole-genome sequencing. Both datasets can then be used to impute markers from whole-genome sequencing onto the entire population. Here, we evaluate whether imputation of whole-genome sequencing data enhances genomic predictions, using data from a nested association mapping population of rapeseed (Brassica napus). Employing two cross-validation schemes that mimic scenarios for the prediction of close and distant relatives, we show that imputed marker data do not significantly improve prediction accuracy, likely due to redundancy in relationship estimates and imputation errors. In simulation studies, only small improvements were observed, further corroborating the findings. We conclude that SNP arrays are already equipped with the information that is added by imputation through relationship and linkage disequilibrium.</t>
  </si>
  <si>
    <t>[Weber, Sven E.; Roscher-Ehrig, Lennard; Snowdon, Rod J.] Justus Liebig Univ, IFZ Res Ctr Biosyst Land Use &amp; Nutr, Dept Plant Breeding, Giessen, Germany; [Kox, Tobias; Abbadi, Amine] NPZ Innovat GmbH, Holtsee, Germany; [Stahl, Andreas] Julius Kuehn Inst JKI, Inst Resistance Res &amp; Stress Tolerance, Fed Res Ctr Cultivated Plants, Quedlinburg, Germany</t>
  </si>
  <si>
    <t>Justus Liebig University Giessen; Julius Kuhn-Institut</t>
  </si>
  <si>
    <t>Weber, SE (corresponding author), Justus Liebig Univ, IFZ Res Ctr Biosyst Land Use &amp; Nutr, Dept Plant Breeding, Giessen, Germany.</t>
  </si>
  <si>
    <t>Sven.E.Weber@agrar.uni-giessen.de</t>
  </si>
  <si>
    <t>Weber, Sven/0000-0003-4181-9074; Snowdon, Rod/0000-0001-5577-7616; Roscher-Ehrig, Lennard/0009-0006-7540-4888</t>
  </si>
  <si>
    <t>Ger-man Federal Ministry of Education and Research (BMBF) [FKZ 031B0890A]; BMBF-funded de.NBI Cloud within the German Network for Bioin-formatics (de.NBI)</t>
  </si>
  <si>
    <t>Ger-man Federal Ministry of Education and Research (BMBF)(Federal Ministry of Education &amp; Research (BMBF)); BMBF-funded de.NBI Cloud within the German Network for Bioin-formatics (de.NBI)</t>
  </si>
  <si>
    <t>Funding information The work was funded by grant FKZ 031B0890A from the Ger-man Federal Ministry of Education and Research (BMBF) to RJS. Informatics infrastructure was provided by the BMBF-funded de.NBI Cloud within the German Network for Bioin-formatics (de.NBI) .</t>
  </si>
  <si>
    <t>CANADIAN SCIENCE PUBLISHING</t>
  </si>
  <si>
    <t>OTTAWA</t>
  </si>
  <si>
    <t>123 Slater Street, Suite 610, OTTAWA, ON K1P 5H2, CANADA</t>
  </si>
  <si>
    <t>0831-2796</t>
  </si>
  <si>
    <t>1480-3321</t>
  </si>
  <si>
    <t>Genome</t>
  </si>
  <si>
    <t>10.1139/gen-2023-0126</t>
  </si>
  <si>
    <t>XE9J6</t>
  </si>
  <si>
    <t>WOS:001222254600001</t>
  </si>
  <si>
    <t>Viana, JMS; Valente, MSF; Silva, FFE; Mundim, GB; Paes, GP</t>
  </si>
  <si>
    <t>Soriano Viana, Jose Marcelo; Ferreira Valente, Magno Savio; Fonseca e Silva, Fabyano; Mundim, Gabriel Borges; Paes, Geisa Pinheiro</t>
  </si>
  <si>
    <t>Efficacy of population structure analysis with breeding populations and inbred lines</t>
  </si>
  <si>
    <t>GENETICA</t>
  </si>
  <si>
    <t>Discrete populations; Admixed population; Populations with common ancestry; Population fragmentation</t>
  </si>
  <si>
    <t>MULTILOCUS GENOTYPE DATA; EMPIRICAL-EVALUATION; GENETIC-STRUCTURE; INFERENCE; CLUSTERS; PROGRAM; NUMBER; SSR; IDENTIFICATION; INDIVIDUALS</t>
  </si>
  <si>
    <t>The objective was to assess by simulation the efficacy of population structure analysis in plant breeding. Twelve populations and 300 inbred lines were simulated and genotyped using 100 microsatellite loci. The experimental material included populations with and without admixture, ancestry relationship and linkage disequilibrium, and with distinct levels of genetic differentiation and effective sizes. The analyses were performed using Structure software and employed all available models. For all the group number (K) tested, for both populations and inbred lines, the admixture model with correlated allelic frequencies provided the highest value for the logarithm of the marginal likelihood. Fitting appropriate model and using adequate sample size for individuals and markers, Structure was effective in identifying the correct population structure, migrants and individuals with genome from distinct populations. The linkage model did not result in an improvement in clustering relative to the admixture model with correlated allelic frequencies. The inclusion of prior information did not change the results; for some K values the analyses showed slight higher values of the marginal likelihood. The reduction in the number of individuals and markers negatively affected the results. There was a high variation in the most probable K value between the evaluated methods.</t>
  </si>
  <si>
    <t>[Soriano Viana, Jose Marcelo; Ferreira Valente, Magno Savio; Mundim, Gabriel Borges; Paes, Geisa Pinheiro] Univ Fed Vicosa, Dept Gen Biol, BR-36570000 Vicosa, MG, Brazil; [Fonseca e Silva, Fabyano] Univ Fed Vicosa, Dept Stat, BR-36570000 Vicosa, MG, Brazil</t>
  </si>
  <si>
    <t>Viana, JMS (corresponding author), Univ Fed Vicosa, Dept Gen Biol, BR-36570000 Vicosa, MG, Brazil.</t>
  </si>
  <si>
    <t>jmsviana@ufv.br</t>
  </si>
  <si>
    <t>Silva, Fabyano/Y-9223-2019; MUNDIM, GABRIEL/I-3890-2013; Soriano Viana, Jose Marcelo/G-2119-2012</t>
  </si>
  <si>
    <t>Soriano Viana, Jose Marcelo/0000-0002-5063-4648</t>
  </si>
  <si>
    <t>Foundation for Research Support of Minas Gerais State (Fapemig); Brazilian Federal Agency for Support and Evaluation of Graduate Education (Capes); National Council for Scientific and Technological Development (CNPq)</t>
  </si>
  <si>
    <t>Foundation for Research Support of Minas Gerais State (Fapemig)(Fundacao de Amparo a Pesquisa do Estado de Minas Gerais (FAPEMIG)); Brazilian Federal Agency for Support and Evaluation of Graduate Education (Capes)(Coordenacao de Aperfeicoamento de Pessoal de Nivel Superior (CAPES)); National Council for Scientific and Technological Development (CNPq)(Conselho Nacional de Desenvolvimento Cientifico e Tecnologico (CNPQ))</t>
  </si>
  <si>
    <t>We thank the Foundation for Research Support of Minas Gerais State (Fapemig), the Brazilian Federal Agency for Support and Evaluation of Graduate Education (Capes), and the National Council for Scientific and Technological Development (CNPq) for financial support.</t>
  </si>
  <si>
    <t>0016-6707</t>
  </si>
  <si>
    <t>1573-6857</t>
  </si>
  <si>
    <t>Genetica</t>
  </si>
  <si>
    <t>7-9</t>
  </si>
  <si>
    <t>10.1007/s10709-013-9738-1</t>
  </si>
  <si>
    <t>236FK</t>
  </si>
  <si>
    <t>WOS:000325780600013</t>
  </si>
  <si>
    <t>Longin, CFH; Maurer, HP; Melchinger, AE; Frisch, M</t>
  </si>
  <si>
    <t>Longin, C. F. H.; Maurer, H. P.; Melchinger, A. E.; Frisch, M.</t>
  </si>
  <si>
    <t>Optimum allocation of test resources and relative efficiency of alternative procedures of within-family selection in hybrid breeding</t>
  </si>
  <si>
    <t>selection gain; Monte Carlo simulation; S-1 family; DH line</t>
  </si>
  <si>
    <t>Selection within families can be conducted as family deviation (FDS) or strict within-family selection (WFS). Our objectives were to (i) investigate two breeding schemes combining selection among families with FDS or WFS and (ii) compare the optimum allocation of test resources for these breeding schemes. We focused on selection among S-1 families and doubled haploid (DH) lines within S-1 families and used Monte Carlo simulations to determine the selection gain (Delta(G) over cap), its standard deviation (SD Delta(G) over cap), and the average coefficient of coancestry among the selected DH lines ((Theta) over bar). For breeding schemes focusing only on within-family selection, as employed in animal breeding, the maximum Delta(G) over cap, its SD Delta(G) over cap, and Delta(G) over cap were larger for FDS than for WFS. However, for breeding schemes combining among- and within-family selection, as employed commonly in plant breeding programmes, the maximum Delta(G) over cap, SD Delta(G) over cap, and (G) over cap were almost equal for FDS and WFS. Furthermore, the optimum allocation of test resources was similar for FDS and WFS. We conclude that FDS and WFS are equally suited for short-and long-term success in breeding schemes where among-family selection is followed by within-family selection.</t>
  </si>
  <si>
    <t>[Longin, C. F. H.; Maurer, H. P.; Melchinger, A. E.; Frisch, M.] Univ Hohenheim, Inst Plant Breeding Seed Sci &amp; Populat Genet, Fruwirthstr 21, D-70593 Stuttgart, Germany</t>
  </si>
  <si>
    <t>Melchinger, AE (corresponding author), Univ Hohenheim, Inst Plant Breeding Seed Sci &amp; Populat Genet, Fruwirthstr 21, D-70593 Stuttgart, Germany.</t>
  </si>
  <si>
    <t>Frisch, Matthias/R-1564-2019</t>
  </si>
  <si>
    <t>Melchinger, Albrecht E./0000-0002-8346-7786</t>
  </si>
  <si>
    <t>10.1111/j.1439-0523.2008.01570.x</t>
  </si>
  <si>
    <t>V45XL</t>
  </si>
  <si>
    <t>WOS:000209849200001</t>
  </si>
  <si>
    <t>Mongiano, G; Titone, P; Pagnoncelli, S; Sacco, D; Tamborini, L; Pilu, R; Bregaglio, S</t>
  </si>
  <si>
    <t>Mongiano, Gabriele; Titone, Patrizia; Pagnoncelli, Simone; Sacco, Davide; Tamborini, Luigi; Pilu, Roberto; Bregaglio, Simone</t>
  </si>
  <si>
    <t>Phenotypic variability in Italian rice germplasm</t>
  </si>
  <si>
    <t>Yield-related traits; Traits relationships; Rice cultivars; Yield strategies; Phenotype classification</t>
  </si>
  <si>
    <t>SIMULATION-MODEL; TEMPERATE RICE; CLIMATE-CHANGE; POWERFUL TOOL; GRAIN-YIELD; CROP YIELD; DYNAMICS; TRAITS; GROWTH; CLASSIFICATION</t>
  </si>
  <si>
    <t>Plant breeding is one of the key strategies for further enhancement of crop yields; however, effective breeding strategies require phenotypic characterisation of the available germplasm. This study sought to characterise the phenotypic expression of fourteen crop traits related to phenology, plant architecture, and yield in a panel of 40 cultivars selected to represent the phenotypic variability present in Italian rice germplasm during a two-season field experiment. The observed range of phenotypic variation was high for many traits (coefficients of variation ranging from 5.9% to 45.4%) including yield (mean: 6.47 t ha(-1); CV: 15.4 %; min: 2.19 t ha(-1); max: 8.95 t ha(-1)), and multiple strong associations emerged in all the analysed traits. Cluster analysis extracted three groups of genotypes characterised by alternative yield strategies, i.e. high-tillering, early maturing, and increased source-sink. Our findings highlight that rice yield decrease when one strategy is overemphasised. In contrast, the highest-yielding genotypes have a balanced ratio between sink and source organs, along with a proportional duration of vegetative and reproductive phases. This study depicts the phenotypic variability in Italian rice cultivars and proposes a novel classification based on yield-related traits which could be of use in multiple rice breeding applications.</t>
  </si>
  <si>
    <t>[Mongiano, Gabriele; Titone, Patrizia; Pagnoncelli, Simone; Sacco, Davide; Tamborini, Luigi] CREA Council Agr Res &amp; Econ, Res Ctr Plant Protect &amp; Certificat, SS 11 Km 2-5, I-13100 Vercelli, Italy; [Pilu, Roberto] Univ Milan, Dept Agr &amp; Environm Sci, Agroenergy, Landscape,Prod, Via Celoria 2, I-20133 Milan, Italy; [Bregaglio, Simone] CREA Council Agr Res &amp; Econ, Res Ctr Agr &amp; Environm, Via Corticella 133, I-40128 Bologna, Italy</t>
  </si>
  <si>
    <t>Consiglio per la Ricerca in Agricoltura e L'analisi Dell'economia Agraria (CREA); University of Milan; Consiglio per la Ricerca in Agricoltura e L'analisi Dell'economia Agraria (CREA)</t>
  </si>
  <si>
    <t>Mongiano, G (corresponding author), CREA Council Agr Res &amp; Econ, Res Ctr Plant Protect &amp; Certificat, SS 11 Km 2-5, I-13100 Vercelli, Italy.</t>
  </si>
  <si>
    <t>g.mongiano@me.com</t>
  </si>
  <si>
    <t>Mongiano, Gabriele/ACJ-4888-2022</t>
  </si>
  <si>
    <t>Mongiano, Gabriele/0000-0002-1638-3566; PILU, SALVATORE ROBERTO/0000-0003-0181-2169; BREGAGLIO, SIMONE/0000-0001-8381-2626</t>
  </si>
  <si>
    <t>10.1016/j.eja.2020.126131</t>
  </si>
  <si>
    <t>NR4LJ</t>
  </si>
  <si>
    <t>WOS:000571535400010</t>
  </si>
  <si>
    <t>Merrick, LF; Herr, AW; Sandhu, KS; Lozada, DN; Carter, AH</t>
  </si>
  <si>
    <t>Merrick, Lance F.; Herr, Andrew W.; Sandhu, Karansher S.; Lozada, Dennis N.; Carter, Arron H.</t>
  </si>
  <si>
    <t>Utilizing Genomic Selection for Wheat Population Development and Improvement</t>
  </si>
  <si>
    <t>plant breeding; two-part strategy; recurrent selection; population improvement; product development; optimization; genetic gain; cross-prediction</t>
  </si>
  <si>
    <t>PRELIMINARY YIELD TRIALS; GENOMEWIDE SELECTION; BREEDING PROGRAMS; PREDICTION; SIMULATION; STRATEGIES; QUALITY; TRAIT; GENE; LINE</t>
  </si>
  <si>
    <t>Wheat (Triticum aestivum L.) breeding programs can take over a decade to release a new variety. However, new methods of selection, such as genomic selection (GS), must be integrated to decrease the time it takes to release new varieties to meet the demand of a growing population. The implementation of GS into breeding programs is still being explored, with many studies showing its potential to change wheat breeding through achieving higher genetic gain. In this review, we explore the integration of GS for a wheat breeding program by redesigning the traditional breeding pipeline to implement GS. We propose implementing a two-part breeding strategy by differentiating between population improvement and product development. The implementation of GS in the product development pipeline can be integrated into most stages and can predict within and across breeding cycles. Additionally, we explore optimizing the population improvement strategy through GS recurrent selection schemes to reduce crossing cycle time and significantly increase genetic gain. The recurrent selection schemes can be optimized for parental selection, maintenance of genetic variation, and optimal cross-prediction. Overall, we outline the ability to increase the genetic gain of a breeding program by implementing GS and a two-part breeding strategy.</t>
  </si>
  <si>
    <t>[Merrick, Lance F.; Herr, Andrew W.; Sandhu, Karansher S.; Carter, Arron H.] Washington State Univ, Dept Crop &amp; Soil Sci, Pullman, WA 99164 USA; [Lozada, Dennis N.] New Mexico State Univ, Dept Plant &amp; Environm Sci, Las Cruces, NM 88003 USA</t>
  </si>
  <si>
    <t>Washington State University; New Mexico State University</t>
  </si>
  <si>
    <t>Carter, AH (corresponding author), Washington State Univ, Dept Crop &amp; Soil Sci, Pullman, WA 99164 USA.</t>
  </si>
  <si>
    <t>lance.merrick@wsu.edu; andrew.herr@wsu.edu; k.sandhu@wsu.edu; dlozada@nmsu.edu; ahcarter@wsu.edu</t>
  </si>
  <si>
    <t>Lozada, Dennis/U-2134-2019; Sandhu, Karansher/ABC-1997-2021; Carter, Arron/E-9631-2019</t>
  </si>
  <si>
    <t>Merrick, Lance/0000-0003-1483-7488; Sandhu, Karansher/0000-0002-9395-2646; Carter, Arron/0000-0002-8019-6554</t>
  </si>
  <si>
    <t>National Institute of Food and Agriculture (NIFA) of the US Department of Agriculture [2016-68004-24770, 2022-68013-36439, 1014919]; O.A. Vogel Research Foundation at Washington State University</t>
  </si>
  <si>
    <t>National Institute of Food and Agriculture (NIFA) of the US Department of Agriculture; O.A. Vogel Research Foundation at Washington State University</t>
  </si>
  <si>
    <t>This research was partially funded by the National Institute of Food and Agriculture (NIFA) of the US Department of Agriculture (Award numbers: 2016-68004-24770 and 2022-68013-36439); Hatch project 1014919; the O.A. Vogel Research Foundation at Washington State University.</t>
  </si>
  <si>
    <t>MDPI AG, Grosspeteranlage 5, CH-4052 BASEL, SWITZERLAND</t>
  </si>
  <si>
    <t>10.3390/agronomy12020522</t>
  </si>
  <si>
    <t>ZL8OP</t>
  </si>
  <si>
    <t>WOS:000763931000001</t>
  </si>
  <si>
    <t>Hamazaki, K; Iwata, H</t>
  </si>
  <si>
    <t>Hamazaki, Kosuke; Iwata, Hiroyoshi</t>
  </si>
  <si>
    <t>AI-assisted selection of mating pairs through simulation-based optimized progeny allocation strategies in plant breeding</t>
  </si>
  <si>
    <t>breeding scheme; optimization; progeny allocation; forward simulation; mating pairs; genetic diversity; breeding values; AI breeder</t>
  </si>
  <si>
    <t>GENOMIC SELECTION; GENETIC GAIN; QUANTITATIVE TRAITS; DAIRY-CATTLE; PREDICTION; REGRESSION; DIVERSITY; PROGRAMS</t>
  </si>
  <si>
    <t>Emerging technologies such as genomic selection have been applied to modern plant and animal breeding to increase the speed and efficiency of variety release. However, breeding requires decisions regarding parent selection and mating pairs, which significantly impact the ultimate genetic gain of a breeding scheme. The selection of appropriate parents and mating pairs to increase genetic gain while maintaining genetic diversity is still an urgent need that breeders are facing. This study aimed to determine the best progeny allocation strategies by combining future-oriented simulations and numerical black-box optimization for an improved selection of parents and mating pairs. In this study, we focused on optimizing the allocation of progenies, and the breeding process was regarded as a black-box function whose input is a set of parameters related to the progeny allocation strategies and whose output is the ultimate genetic gain of breeding schemes. The allocation of progenies to each mating pair was parameterized according to a softmax function, whose input is a weighted sum of multiple features for the allocation, including expected genetic variance of progenies and selection criteria such as different types of breeding values, to balance genetic gains and genetic diversity optimally. The weighting parameters were then optimized by the black-box optimization algorithm called StoSOO via future-oriented breeding simulations. Simulation studies to evaluate the potential of our novel method revealed that the breeding strategy based on optimized weights attained almost 10% higher genetic gain than that with an equal allocation of progenies to all mating pairs within just four generations. Among the optimized strategies, those considering the expected genetic variance of progenies could maintain the genetic diversity throughout the breeding process, leading to a higher ultimate genetic gain than those without considering it. These results suggest that our novel method can significantly improve the speed and efficiency of variety development through optimized decisions regarding the selection of parents and mating pairs. In addition, by changing simulation settings, our future-oriented optimization framework for progeny allocation strategies can be easily implemented into general breeding schemes, contributing to accelerated plant and animal breeding with high efficiency.</t>
  </si>
  <si>
    <t>[Hamazaki, Kosuke; Iwata, Hiroyoshi] Univ Tokyo, Grad Sch Agr &amp; Life Sci, Dept Agr &amp; Environm Biol, Lab Biometry &amp; Bioinformat, Tokyo, Japan; [Hamazaki, Kosuke] RIKEN, Ctr Adv Intelligence Project AIP, Mol Informat Team, Chiba, Japan</t>
  </si>
  <si>
    <t>University of Tokyo; RIKEN</t>
  </si>
  <si>
    <t>Iwata, H (corresponding author), Univ Tokyo, Grad Sch Agr &amp; Life Sci, Dept Agr &amp; Environm Biol, Lab Biometry &amp; Bioinformat, Tokyo, Japan.</t>
  </si>
  <si>
    <t>Hamazaki, Kosuke/0000-0002-7486-7438</t>
  </si>
  <si>
    <t>Japan Society for the Promotion of Science10.13039/501100001691; Japan Society for the Promotion of Science (JSPS)</t>
  </si>
  <si>
    <t>Japan Society for the Promotion of Science10.13039/501100001691(Ministry of Education, Culture, Sports, Science and Technology, Japan (MEXT)Japan Society for the Promotion of Science); Japan Society for the Promotion of Science (JSPS)(Ministry of Education, Culture, Sports, Science and Technology, Japan (MEXT)Japan Society for the Promotion of Science)</t>
  </si>
  <si>
    <t>We are grateful to Mr. Julien Diot, a developer of the breedSimulatR package, for fruitful discussions on the implementation of breeding simulations. We would like to thank Dr. Yohei Akimoto for fruitful discussions on how to optimize decision-making in a breeding scheme. We are also grateful to Dr. Bo Zhang for her valuable comments when revising our manuscript. We would like to thank the Japan Society for the Promotion of Science (JSPS) for funding our study. We would also like to thank Editage (www.editage.com) for English language editing.</t>
  </si>
  <si>
    <t>MAR 28</t>
  </si>
  <si>
    <t>10.3389/fpls.2024.1361894</t>
  </si>
  <si>
    <t>NI3B2</t>
  </si>
  <si>
    <t>WOS:001199773000001</t>
  </si>
  <si>
    <t>Yield stability evaluation of peanut lines: A comparison of an experimental versus a simulation approach</t>
  </si>
  <si>
    <t>FIELD CROPS RESEARCH</t>
  </si>
  <si>
    <t>plant breeding; yield trials; genotype x environment interactions; crop simulation model; CROPGRO-Peanut</t>
  </si>
  <si>
    <t>GROUNDNUT MODEL PNUTGRO; GENETIC COEFFICIENTS; STATISTICAL-ANALYSIS; PLANTING DATE; CROP RESPONSE; GENOTYPE; AVAILABILITY; POPULATION; GROWTH; WHEAT</t>
  </si>
  <si>
    <t>The assessment of yield stability of crop breeding lines requires data from multi-locations in order to be able to represent a sufficient number of different environments. In addition, the variation in yield of the test lines not only reflects the differential responses of the genotypes to different soil and climatic conditions, which are of primary concern to breeders, but also results from the effects of several other factors and the micro-environmental variability within the sites. Crop simulation models have the potential to assist in overcoming these difficulties. The objective of this investigation was to evaluate the potential application of the CROPGRO-Peanut model for yield stability assessment of advanced peanut lines. A group of 12 large-seeded Virginia type of peanut advanced breeding lines that was under multi-location evaluation at the regional yield trial stage in Thailand from 1998 to 1999 was used. These lines were tested in farmers' fields and research stations in the northeastern and northern regions of Thailand during both the rainy and dry seasons of 1998-1999, totaling 10 different environments. The CROPGRO-Peanut model was used to simulate yield of the individual lines for the same environments in which they were tested. Both the observed and simulated yields were subjected to a stability analysis using a conventional regression model. The results showed that the CROPGRO-Peanut model predicted the relative mean pod yields over 10 test environments of the test peanut lines reasonably well; five out of the six highest yielding lines (top 50%) were identified by both experimentation and simulation. The model also gave estimates of the regression coefficients of individual genotype means over the site mean yields that were in good agreement with those obtained from actual testing. Some discrepancies were observed, but these were seen as providing additional information for the responses of the test genotypes to environmental factors that were not accounted for by the model. It was concluded that the CROPGRO-Peanut model could be a valuable tool for the evaluation of peanut breeding lines for yield stability. (c) 2005 Elsevier B.V. All rights reserved.</t>
  </si>
  <si>
    <t>Khon Kaen Univ, Fac Agr, Dept Agron, Khon Kaen 40002, Thailand; Univ Georgia, Dept Biol &amp; Agr Engn, Griffin, GA 30223 USA</t>
  </si>
  <si>
    <t>Khon Kaen University; University System of Georgia; University of Georgia</t>
  </si>
  <si>
    <t>Khon Kaen Univ, Fac Agr, Dept Agron, Khon Kaen 40002, Thailand.</t>
  </si>
  <si>
    <t>aran@kku.ac.th</t>
  </si>
  <si>
    <t>0378-4290</t>
  </si>
  <si>
    <t>1872-6852</t>
  </si>
  <si>
    <t>FIELD CROP RES</t>
  </si>
  <si>
    <t>Field Crop. Res.</t>
  </si>
  <si>
    <t>MAR 15</t>
  </si>
  <si>
    <t>10.1016/j.fcr.2005.06.008</t>
  </si>
  <si>
    <t>014TL</t>
  </si>
  <si>
    <t>WOS:000235502900020</t>
  </si>
  <si>
    <t>Chen, SP; Sung, WH; Liao, CT</t>
  </si>
  <si>
    <t>Chen, Szu-Ping; Sung, Wen-Hsiu; Liao, Chen-Tuo</t>
  </si>
  <si>
    <t>Constructing training sets for genomic selection to identify superior genotypes in candidate populations</t>
  </si>
  <si>
    <t>CALIBRATION SET; PREDICTION; OPTIMIZATION; EFFICIENCY</t>
  </si>
  <si>
    <t>Key messageApproaches for constructing training sets in genomic selection are proposed to efficiently identify top-performing genotypes from a breeding population.AbstractIdentifying superior genotypes from a candidate population is a key objective in plant breeding programs. This study evaluates various methods for the training set optimization in genomic selection, with the goal of enhancing efficiency in discovering top-performing genotypes from a breeding population. Additionally, two approaches, inspired by classical optimal design criteria, are proposed to expand the search space for the best genotypes and compared with methods focusing on maximizing accuracy in breeding value prediction. Evaluation metrics such as normalized discounted cumulative gain, Spearman's rank correlation, and Pearson's correlation are employed to assess performance in both simulation studies and real trait analyses. Overall, for candidate populations lacking a strong subpopulation structure, a ridge regression-based method, referred to as MSPERidge,\documentclass[12pt]{minimal} \usepackage{amsmath} \usepackage{wasysym} \usepackage{amsfonts} \usepackage{amssymb} \usepackage{amsbsy} \usepackage{mathrsfs} \usepackage{upgreek} \setlength{\oddsidemargin}{-69pt} \begin{document}$${\text{MSPE}}&lt;^&gt;{\text{Ridge}},$$\end{document} is recommended. For candidate populations with a strong subpopulation structure, a heuristic-based version of generalized coefficient of determination CDmean(v2)\documentclass[12pt]{minimal} \usepackage{amsmath} \usepackage{wasysym} \usepackage{amsfonts} \usepackage{amssymb} \usepackage{amsbsy} \usepackage{mathrsfs} \usepackage{upgreek} \setlength{\oddsidemargin}{-69pt} \begin{document}$$\left({\text{CD}}_{\text{mean}(\text{v}2)}\right)$$\end{document} and a D-optimality-like method that maximizes overall genomic variation (GVoverall)\documentclass[12pt]{minimal} \usepackage{amsmath} \usepackage{wasysym} \usepackage{amsfonts} \usepackage{amssymb} \usepackage{amsbsy} \usepackage{mathrsfs} \usepackage{upgreek} \setlength{\oddsidemargin}{-69pt} \begin{document}$$({\text{GV}}_{\text{overall}})$$\end{document} are preferred approaches for the primary objective of plant breeding. For populations with a large number of candidates, a proposed ranking method (GVaverage\documentclass[12pt]{minimal} \usepackage{amsmath} \usepackage{wasysym} \usepackage{amsfonts} \usepackage{amssymb} \usepackage{amsbsy} \usepackage{mathrsfs} \usepackage{upgreek} \setlength{\oddsidemargin}{-69pt} \begin{document}$${\text{GV}}_{\text{average}}$$\end{document}) can first be used to down-scale the candidate population, after which a heuristic-based method is employed to identify the best genotypes. Notably, the proposed CDmean(v2)\documentclass[12pt]{minimal} \usepackage{amsmath} \usepackage{wasysym} \usepackage{amsfonts} \usepackage{amssymb} \usepackage{amsbsy} \usepackage{mathrsfs} \usepackage{upgreek} \setlength{\oddsidemargin}{-69pt} \begin{document}$${\text{CD}}_{\text{mean}(\text{v}2)}$$\end{document} has been verified to be equivalent to the original version, known as CDmean\documentclass[12pt]{minimal} \usepackage{amsmath} \usepackage{wasysym} \usepackage{amsfonts} \usepackage{amssymb} \usepackage{amsbsy} \usepackage{mathrsfs} \usepackage{upgreek} \setlength{\oddsidemargin}{-69pt} \begin{document}$${\text{CD}}_{\text{mean}}$$\end{document}, but its implementation is much more computationally efficient.</t>
  </si>
  <si>
    <t>[Chen, Szu-Ping; Sung, Wen-Hsiu; Liao, Chen-Tuo] Natl Taiwan Univ, Dept Agron, Taipei, Taiwan; [Chen, Szu-Ping] Cornell Univ, Sect Plant Breeding &amp; Genet, Ithaca, NY USA</t>
  </si>
  <si>
    <t>National Taiwan University; Cornell University</t>
  </si>
  <si>
    <t>Ministry of Science and Technology, Taiwan [MOST 112-2118-M-002-003-MY2]</t>
  </si>
  <si>
    <t>Ministry of Science and Technology, Taiwan(Ministry of Science and Technology, Taiwan)</t>
  </si>
  <si>
    <t>This research was supported by the Ministry of Science and Technology, Taiwan (grant number MOST 112-2118-M-002-003-MY2).</t>
  </si>
  <si>
    <t>10.1007/s00122-024-04766-y</t>
  </si>
  <si>
    <t>M3H0J</t>
  </si>
  <si>
    <t>WOS:001356473600001</t>
  </si>
  <si>
    <t>Guijarro-Real, C; Prohens, J; Rodríguez-Burruezo, A; Fita, A</t>
  </si>
  <si>
    <t>Chova, LG; Martinez, AL; Torres, IC</t>
  </si>
  <si>
    <t>Guijarro-Real, C.; Prohens, J.; Rodriguez-Burruezo, A.; Fita, A.</t>
  </si>
  <si>
    <t>IMPROVING THE SPECIFIC COMPETENCES OF MASTER STUDENTS IN BREEDING SCIENCE: INTRODUCTION OF A PRACTICAL LESSON FOR ASSESSING BIOAVAILABILITY OF TARGET MOLECULES</t>
  </si>
  <si>
    <t>EDULEARN19: 11TH INTERNATIONAL CONFERENCE ON EDUCATION AND NEW LEARNING TECHNOLOGIES</t>
  </si>
  <si>
    <t>EDULEARN Proceedings</t>
  </si>
  <si>
    <t>11th International Conference on Education and New Learning Technologies (EDULEARN)</t>
  </si>
  <si>
    <t>JUL 01-03, 2019</t>
  </si>
  <si>
    <t>Palma, SPAIN</t>
  </si>
  <si>
    <t>Bioavailability; compounds degradation; digestion; Plant science studies; practical lesson; specific competence</t>
  </si>
  <si>
    <t>BIOACTIVE COMPOUNDS; PHENOLICS; BIOACCESSIBILITY; DIGESTION</t>
  </si>
  <si>
    <t>Modern consumers concern about the influence of diet in maintaining the health status. As consequence, Plant Breeding has included the enhancement of nutritional quality as a new goal in many programs. However, not all the bioactive molecules are equally stable, and the degradation by human body and bioavailability of different molecules can differ greatly. In this sense, understanding of chemistry and degradation of different nutritional compounds can become essential to address this issue, as a guide to increase efforts in the enhancement of the most stable target molecules. Thus, professionals must be able to develop and perform specific nutritional analyses in their breeding programs. Master studies are conceived as specialization studies for post-graduates, addressed to increase the knowledge and experience of future professionals. Thus, design of the educational programs should be such as to provide students with the specific competences needed during their careers. Our Institute offers a Master in Plant Breeding that includes the acquisition of specific competences by means of the development of practical lessons. Practical lessons are of paramount importance to understand and fix the knowledge exposed during the theoretical lessons, and are also conceived as a tool for students to gain experience and deal with real problems in their professional careers. As part of our educational program, we propose in this paper the introduction of a new practical lesson in the subject Breeding for quality: the simulation of a digestion process in vitro for the analysis of bioavailability of target biomolecules. The lesson is designed to be developed during three sessions, in the course of which students will perform all the steps for this type of analyses. Steps include the preparation of samples and analysis of material prior to the digestion, the simulation of the digestion process in vitro, and the analysis of the digested material and evaluation of results. The lesson is designed to be performed by pairs, since we consider that this methodology facilitates the learning process, using different fruits and vegetables. In addition, during the last part of the lesson, students will be asked to share the experience and results with the class. Students' explanations will have special focus on any problems derived from the treatment of matrix and target molecules, allowing the discussion of these problems and possible solutions provided by students and educator. Finally, a one-minute test will be included in order to evaluate the acquisition of knowledge related to the key aspects of the lesson. At the end of the lesson, students should be able to perform an analysis of the bioavailability of different target biomolecules after a simulated digestion in vitro. The aim of this lesson is to understand that different bioactive compounds suffer different degradation grades. This knowledge will help future professionals to select the most promising and stable target molecules for starting breeding and food nutrition programs focused to enhance nutritional quality. Moreover, the lesson can be easily adapted to other Master studies related to Food Technology or even Human health studies, increasing specific competences for students in these fields as well.</t>
  </si>
  <si>
    <t>[Guijarro-Real, C.; Prohens, J.; Rodriguez-Burruezo, A.; Fita, A.] Univ Politecn Valencia, Inst Conservac &amp; Mejora Agordiversidad Valenciana, Valencia, Spain</t>
  </si>
  <si>
    <t>Guijarro-Real, C (corresponding author), Univ Politecn Valencia, Inst Conservac &amp; Mejora Agordiversidad Valenciana, Valencia, Spain.</t>
  </si>
  <si>
    <t>Prohens, Jaime/ABF-1229-2021; Fita, ANA/K-4250-2017; Guijarro Real, Carla/AAI-2049-2019</t>
  </si>
  <si>
    <t>Guijarro Real, Carla/0000-0002-8015-1559; FITA, ANA/0000-0002-8637-5852</t>
  </si>
  <si>
    <t>Ministerio de Educacion, Cultura y Deporte of Spain [FPU14-06798]</t>
  </si>
  <si>
    <t>Ministerio de Educacion, Cultura y Deporte of Spain</t>
  </si>
  <si>
    <t>Carla Guijarro-Real is grateful to the Ministerio de Educacion, Cultura y Deporte of Spain for financial support by means of a predoctoral FPU grant (FPU14-06798).</t>
  </si>
  <si>
    <t>IATED-INT ASSOC TECHNOLOGY EDUCATION &amp; DEVELOPMENT</t>
  </si>
  <si>
    <t>VALENICA</t>
  </si>
  <si>
    <t>LAURI VOLPI 6, VALENICA, BURJASSOT 46100, SPAIN</t>
  </si>
  <si>
    <t>2340-1117</t>
  </si>
  <si>
    <t>978-84-09-12031-4</t>
  </si>
  <si>
    <t>EDULEARN PROC</t>
  </si>
  <si>
    <t>Education &amp; Educational Research</t>
  </si>
  <si>
    <t>Conference Proceedings Citation Index - Social Science &amp; Humanities (CPCI-SSH)</t>
  </si>
  <si>
    <t>BP4NG</t>
  </si>
  <si>
    <t>WOS:000553304903047</t>
  </si>
  <si>
    <t>Model analysis of the significant drop in protein content in Danish grain crops from 1990-2015</t>
  </si>
  <si>
    <t>Winter wheat; Spring barley; DAISY model; Protein content; N in grain plant breeding; Fertilization</t>
  </si>
  <si>
    <t>HARVEST INDEX; WHEAT CULTIVARS; SPRING BARLEY; DAISY MODEL; SOIL; CALIBRATION; SIMULATION; EFFICIENCY; DYNAMICS</t>
  </si>
  <si>
    <t>The content of crude protein in grain decreased 2.4-2.9 percentage points (dry matter basis) in Denmark between 1990 and 2015. The aim of this model analysis was to quantify to which extent the reduced crude protein content in winter wheat and spring barley was caused by a) changed N-response in new varieties, b) changed fertilizer norms, field management and N-deposition, c) decreased N-mineralization due to structural changes in Danish farming, and d) warmer and wetter weather. The analysis was carried out using the plant-soil-atmosphere model DAISY. It was possible to simulate most of the observed change in protein content. For winter wheat, changes in fertilizer regulations driven by environmental concerns and accompanied by a drop in aerial deposition of nitrogen explained between 50 and 70 % of the total simulated decline in crude protein content. The changed N-response of new varieties explained 15-20 %. For spring barley, the changed N-response accounted for 45-60 % of the observed change under mineral fertilization and 40-45 % in scenarios receiving slurry. Warmer and wetter weather accounted for around 20 % of the change for both crops. On the more clayey soils, reduced mineralisation influenced the protein content, and this effect was probably underestimated in the study.</t>
  </si>
  <si>
    <t>Styczen, Merete/E-6219-2015</t>
  </si>
  <si>
    <t>Styczen, Merete/0000-0003-0420-2577; Abrahamsen, Per/0000-0002-4804-2758</t>
  </si>
  <si>
    <t>We thank Promilleafgiftsfonden for Landbrug, Denmark, for funding the project Analyse af arsager til faldende N-indhold i kerne and Gitte Blicher Mathiesen, Senior Advisor, Danish Centre for Environment and Energy, Professor Kristian Thorup-Kristensen, Institute of Plant Science and Environment and Hans Ostergaard, SEGES for contributing to the work with constructive ideas and criticism in their capacity as members of the project advisory group. Thanks to Carl Thalbitzer from the Danish Agricultural Agency who let us use his personal archive of fertilization regulations and rules from 1994-2008 that are not available on the web and to Finn Borum, Sejet and to Jeppe Reitan Andersen, Nordic Seed for providing information on earing dates and differences between Denmark and Germany.</t>
  </si>
  <si>
    <t>10.1016/j.eja.2020.126068</t>
  </si>
  <si>
    <t>LU2HW</t>
  </si>
  <si>
    <t>WOS:000537581800001</t>
  </si>
  <si>
    <t>Zhao, JS; Bodner, G; Rewald, B; Leitner, D; Nagel, KA; Nakhforoosh, A</t>
  </si>
  <si>
    <t>Zhao, Jiangsan; Bodner, Gernot; Rewald, Boris; Leitner, Daniel; Nagel, Kerstin A.; Nakhforoosh, Alireza</t>
  </si>
  <si>
    <t>Root architecture simulation improves the inference from seedling root phenotyping towards mature root systems</t>
  </si>
  <si>
    <t>Lateral root branching; pea root system; phenotyping; root architecture model; root elongation rate; temporal scaling</t>
  </si>
  <si>
    <t>PEA PISUM-SATIVUM; ARBUSCULAR MYCORRHIZAL FUNGI; TRITICUM-AESTIVUM; WATER-UPTAKE; MECHANICAL IMPEDANCE; GENETIC-ANALYSIS; LATERAL ROOTS; ZEA-MAYS; GROWTH; TRAITS</t>
  </si>
  <si>
    <t>Root phenotyping provides trait information for plant breeding. A shortcoming of high-throughput root phenotyping is the limitation to seedling plants and failure to make inferences on mature root systems. We suggest root system architecture (RSA) models to predict mature root traits and overcome the inference problem. Sixteen pea genotypes were phenotyped in (i) seedling (Petri dishes) and (ii) mature (sand-filled columns) root phenotyping platforms. The RSA model RootBox was parameterized with seedling traits to simulate the fully developed root systems. Measured and modelled root length, first-order lateral number, and root distribution were compared to determine key traits for model-based prediction. No direct relationship in root traits (tap, lateral length, interbranch distance) was evident between phenotyping systems. RootBox significantly improved the inference over phenotyping platforms. Seedling plant tap and lateral root elongation rates and interbranch distance were sufficient model parameters to predict genotype ranking in total root length with an R-Spearman of 0.83. Parameterization including uneven lateral spacing via a scaling function substantially improved the prediction of architectures underlying the differently sized root systems. We conclude that RSA models can solve the inference problem of seedling root phenotyping. RSA models should be included in the phenotyping pipeline to provide reliable information on mature root systems to breeding research.</t>
  </si>
  <si>
    <t>[Zhao, Jiangsan; Rewald, Boris; Nakhforoosh, Alireza] Univ Nat Resources &amp; Life Sci, Vienna BOKU, Dept Forest &amp; Soil Sci, Peter Jordan Str 82, A-1190 Vienna, Austria; [Bodner, Gernot; Nakhforoosh, Alireza] Univ Nat Resources &amp; Life Sci, Vienna BOKU, Dept Crop Sci, Div Agron, Konrad Lorenz Str 24, A-3430 Tulln An Der Donau, Austria; [Leitner, Daniel] Univ Vienna, Computat Sci Ctr, Oskar Morgenstern Pl 1, A-1090 Vienna, Austria; [Nagel, Kerstin A.] Forschungszentrum Julich GmbH, Inst Biosci &amp; Geosci, IBG Plant Sci 2, D-52425 Julich, Germany</t>
  </si>
  <si>
    <t>BOKU University; BOKU University; University of Vienna; Helmholtz Association; Research Center Julich</t>
  </si>
  <si>
    <t>Bodner, G (corresponding author), Univ Nat Resources &amp; Life Sci, Vienna BOKU, Dept Crop Sci, Div Agron, Konrad Lorenz Str 24, A-3430 Tulln An Der Donau, Austria.</t>
  </si>
  <si>
    <t>gernot.bodner@boku.ac.at</t>
  </si>
  <si>
    <t>Leitner, Daniel/IZP-7984-2023; Rewald, Boris/L-2735-2019</t>
  </si>
  <si>
    <t>Rewald, Boris/0000-0001-8098-0616; Leitner, Daniel/0000-0002-6813-4692; Bodner, Gernot/0000-0001-9813-1364</t>
  </si>
  <si>
    <t>European Union's Seventh Framework Programme [613781]; Transnational Access capacities of the European Plant Phenotyping Network (EPPN) - FP7 Research Infrastructures Programme of the European Union [284443]</t>
  </si>
  <si>
    <t>European Union's Seventh Framework Programme(European Union (EU)); Transnational Access capacities of the European Plant Phenotyping Network (EPPN) - FP7 Research Infrastructures Programme of the European Union</t>
  </si>
  <si>
    <t>This project received funding from the European Union's Seventh Framework Programme under grant agreement no. 613781 (EUROLEGUME). The study of seedling roots in Petri dishes was supported by Transnational Access capacities of the European Plant Phenotyping Network (EPPN; grant agreement no. 284443) funded by the FP7 Research Infrastructures Programme of the European Union. We thank the donors for the genetic material. The help of Michael J. Bambrick and Bernd Kastenholz during the experiments on mature plant and seedlings, respectively, was essential.</t>
  </si>
  <si>
    <t>10.1093/jxb/erw494</t>
  </si>
  <si>
    <t>EP1RF</t>
  </si>
  <si>
    <t>WOS:000397161300008</t>
  </si>
  <si>
    <t>White, JW; Hoogenboom, G</t>
  </si>
  <si>
    <t>Integrated viewing and analysis of phenotypic, genotypic and environmental data with GenPhEn arrays</t>
  </si>
  <si>
    <t>bioinformatics; data visualization; environment; modeling; plant breeding; phenotype; statistical analysis</t>
  </si>
  <si>
    <t>PHOTOPERIOD RESPONSE; SEED SIZE; CROP; MICROARRAYS; GROWTH; SYSTEM; GENOME; WHEAT; YIELD</t>
  </si>
  <si>
    <t>A recurring challenge in agronomic research is how to interpret large data sets that combine information on genotypes, phenotypes and environments. High-resolution color graphics offer the possibility of presenting such data as pseudo-maps or arrays, where x- and y-coordinates represent genotypes and environments, and the z-values represent phenotypic data using dots or other symbols and an appropriate color scheme to indicate the range of values. This paper describes use of such GenPhEn arrays with data from three studies: a survey of leaf thickness in common bean (Phaseolus vulgaris L.) lines, a multi-location trial of wheat (Triticum aestivum L.) lines and a simulation analysis for response of common bean to increased air temperature. By standardizing the phenotypic values, the genotypic and environmental effects can be easily viewed and better comprehended, especially when presented in multi-trait arrays. The arrays allow presenting large amounts of data (i.e., 5000 data points or more) in a compact and readily interpretable fashion. Appending symbols to indicate levels of significance of specific effects or to characterize genotypes or environments can further assist interpretation and hypothesis generation. It is expected that GenPhEn arrays can be used by plant breeders, agronomists and others to rapidly examine large sets of data for patterns that merit further study using more quantitative approaches. Published by Elsevier B.V.</t>
  </si>
  <si>
    <t>USDA ARS, US Water Conservat Lab, Phoenix, AZ 85040 USA; Univ Georgia, Coll Agr &amp; Environm Sci, Dept Biol &amp; Agr Engn, Griffin, GA 30223 USA</t>
  </si>
  <si>
    <t>United States Department of Agriculture (USDA); University System of Georgia; University of Georgia</t>
  </si>
  <si>
    <t>USDA ARS, US Water Conservat Lab, 4331 E Broadway Rd, Phoenix, AZ 85040 USA.</t>
  </si>
  <si>
    <t>jwhite@uswcl.ars.ag.gov</t>
  </si>
  <si>
    <t>10.1016/j.eja.2004.11.005</t>
  </si>
  <si>
    <t>963ZW</t>
  </si>
  <si>
    <t>WOS:000231846400007</t>
  </si>
  <si>
    <t>Moreau, L; Charcosset, A; Hospital, F; Gallais, A</t>
  </si>
  <si>
    <t>Marker-assisted selection efficiency in populations of finite size</t>
  </si>
  <si>
    <t>UTILIZING LINKAGE DISEQUILIBRIUM; QUANTITATIVE TRAIT LOCI; COMPUTER-SIMULATION; HYBRID POPULATIONS; MAIZE; IMPROVEMENT; PROGENY; YIELD; LINES; POWER</t>
  </si>
  <si>
    <t>The efficiency of marker-assisted selection (MAS) based on an index incorporating both phenotypic and molecular information is evaluated with an analytical approach that takes into account the size of the experiment. We consider the case of a population derived from a cross between two homozygous lines, which is commonly used in plant breeding, and we study the relative efficiency of MAS compared with selection based only on phenotype in the first cycle of selection. It is shown that the selection of the markers included in the index leads to an overestimation of the effects associated with these markers. Taking this bias into account, we study the influence of several parameters, including experiment size and heritability, on MAS efficiency. Even if MAS appears to be most interesting for low heritabilities, we point out the existence of an optimal heritability (similar to 0.2) below which the low power of quantilative trait loci detection and the bias caused by the selection of markers reduce the efficiency. In this situation, increasing the power of detection by using a higher probability of type I error can improve MAS efficiency. This approach, validated by simulations, gives results that are generally consistent with those previously obtained by simulations using a more sophisticated biological model than ours. Thus, though developed from a simple genetic model, our approach may be a useful tool to optimize the experimental means for more complex genetic situations.</t>
  </si>
  <si>
    <t>Univ Paris 06, INAPG, INRA, Stn Genet Vegetale,Ferme Moulon, F-91190 Gif Sur Yvette, France; Inst Natl Agron Paris Grignon, F-75231 Paris 05, France</t>
  </si>
  <si>
    <t>Sorbonne Universite; INRAE; AgroParisTech; Universite Paris Saclay</t>
  </si>
  <si>
    <t>Univ Paris 06, INAPG, INRA, Stn Genet Vegetale,Ferme Moulon, F-91190 Gif Sur Yvette, France.</t>
  </si>
  <si>
    <t>Moreau, Luc/C-9061-2011; Hospital, Frederic/A-6848-2008</t>
  </si>
  <si>
    <t>Hospital, Frederic/0000-0003-0825-4470; Charcosset, Alain/0000-0001-6125-503X</t>
  </si>
  <si>
    <t>ZC975</t>
  </si>
  <si>
    <t>WOS:000072638000036</t>
  </si>
  <si>
    <t>Endresen, DTF; Street, K; Mackay, M; Bari, A; Amri, A; De Pauw, E; Nazari, K; Yahyaoui, A</t>
  </si>
  <si>
    <t>Endresen, Dag Terje Filip; Street, Kenneth; Mackay, Michael; Bari, Abdallah; Amri, Ahmed; De Pauw, Eddy; Nazari, Kumarse; Yahyaoui, Amor</t>
  </si>
  <si>
    <t>Sources of Resistance to Stem Rust (Ug99) in Bread Wheat and Durum Wheat Identified Using Focused Identification of Germplasm Strategy</t>
  </si>
  <si>
    <t>F-SP TRITICI; PREDICTIVE ASSOCIATION; VIRULENCE; SIZE</t>
  </si>
  <si>
    <t>The focused identification of germplasm strategy (FIGS) has been validated using predictive computer models in simulation studies to predict a priori known trait scores. This study was designed as a blind study where the person calculating the computer model did not know the actual trait scores. This study design provides a more realistic test of the predictive capacity of the FIGS approach compared to previous studies. Furthermore this study also explored the suitability of FIGS for the identification of resistance in bread wheat (Triticum aestivum L. subsp. aestivum) and durum wheat [Triticum turgidum L. subsp. durum (Desf.) Husn.] to Ug99-a strain of stem rust (Puccinia graminis Pers. f. sp. tritici Eriks. &amp; Henn.) and typified to race TTKSK. The predictions were validated against a dataset with the screening of wheat accessions conducted in Yemen in 2008. Only a small training set representing 20% of the trait screening results was disclosed to the person conducting the data analysis for the calibration of the prediction model. The hit rate for identification of Ug99-resistant accessions was more than two times higher when using the FIGS approach compared to a random selection of accessions. These results suggested that FIGS was well suited for the identification of samples with resistance to fungal pathogens. It is therefore recommended that FIGS approach be used as a complement to expert knowledge and experience when selecting accessions for plant breeding and crop research activities.</t>
  </si>
  <si>
    <t>[Endresen, Dag Terje Filip] GBIF, DK-2100 Copenhagen, Denmark; [Street, Kenneth; Bari, Abdallah; Amri, Ahmed; De Pauw, Eddy; Nazari, Kumarse; Yahyaoui, Amor] ICARDA, Aleppo, Syria; [Mackay, Michael] Biovers Int, I-00057 Rome, Italy</t>
  </si>
  <si>
    <t>CGIAR; International Center for Agricultural Research in the Dry Areas (ICARDA); Alliance; Bioversity International</t>
  </si>
  <si>
    <t>Endresen, DTF (corresponding author), GBIF, Univ Pk 15, DK-2100 Copenhagen, Denmark.</t>
  </si>
  <si>
    <t>dag.endresen@gmail.com</t>
  </si>
  <si>
    <t>Endresen, Dag/G-1284-2010</t>
  </si>
  <si>
    <t>Endresen, Dag/0000-0002-2352-5497</t>
  </si>
  <si>
    <t>Nordic Genetic Resources Center (NordGen); Div Of Biological Infrastructure; Direct For Biological Sciences [0940673] Funding Source: National Science Foundation</t>
  </si>
  <si>
    <t>Nordic Genetic Resources Center (NordGen); Div Of Biological Infrastructure; Direct For Biological Sciences(National Science Foundation (NSF)NSF - Directorate for Biological Sciences (BIO))</t>
  </si>
  <si>
    <t>Associate professor Dvora-Laio Wulfsohn (Copenhagen University) provided feedback and suggestions on the draft manuscript. This research project was supported by a grant from the Nordic Genetic Resources Center (NordGen; http://www.nordgen.org). All authors helped assemble the data and to develop the experimental design for the modeling experiments. Kumarse Nazari, and Amor Yahyaoui conducted the disease screening experiments. Dag Endresen made the data analysis and wrote the first version of the manuscript. All authors contributed to the final manuscript.</t>
  </si>
  <si>
    <t>10.2135/cropsci2011.08.0427</t>
  </si>
  <si>
    <t>899EY</t>
  </si>
  <si>
    <t>WOS:000300800400032</t>
  </si>
  <si>
    <t>Debaeke, P; Bret-Mestries, E; Aubertot, JN; Casadebaig, P; Champolivier, L; Dejoux, JF; Maury, P; Seassau, C</t>
  </si>
  <si>
    <t>Debaeke, Philippe; Bret-Mestries, Emmanuelle; Aubertot, Jean-Noel; Casadebaig, Pierre; Champolivier, Luc; Dejoux, Jean-Francois; Maury, Pierre; Seassau, Celia</t>
  </si>
  <si>
    <t>Sunflower agronomy: 10 years of research in partnership within the Sunflower Technological Joint Unit (UMT) in Toulouse</t>
  </si>
  <si>
    <t>OCL-OILSEEDS AND FATS CROPS AND LIPIDS</t>
  </si>
  <si>
    <t>sunflower; collaborative research; agronomy; decision support; oil concentration</t>
  </si>
  <si>
    <t>CROP MANAGEMENT; HELIANTHUS-ANNUUS; PHYSIOLOGICAL TRAITS; VERTICILLIUM WILT; PHOMA-MACDONALDII; WATER; MODEL; PERFORMANCE; BIOMASS; STRESS</t>
  </si>
  <si>
    <t>In order to make more efficient plant breeding and gain in competitiveness, the sector of oil-protein crops decided to intensify agronomic research on sunflower crop. The Sunflower Joint Technological Unit (Unite Mixte Technologique (UMT) Tournesol, in French) was launched in the Toulouse area in 2006, associating closely INRA and Terres Inovia. First focused on improving oil production through an agronomic approach, the UMT was renewed in 2011 with a broader partnership and a more assertive orientation towards the development of decision-making tools. The objective of this paper is to highlight the relevance and productivity of this user-oriented research facility. The main results relate to (i) the co-construction of a simulation model (SUNFLO) that can be parameterized and manipulated by Terres Inovia engineers, (ii) the joint exploration of supra-field scales and new methods for agronomic diagnosis and yield forecasting based on remote sensing, (iii) the tuning and dissemination of operational decision rules, (iv) the production of essential knowledge on emergent and/or damaging fungal diseases, as well as on complex interactions between genotype, environment and crop management. After a concluding symposium in 2016, new requests for sunflower research were formulated by the participants. They also advocated for a diversification of crops to consider in order to better meet the needs of the whole oil-protein sector.</t>
  </si>
  <si>
    <t>[Debaeke, Philippe; Aubertot, Jean-Noel; Casadebaig, Pierre; Maury, Pierre; Seassau, Celia] INRAE, UMR AGIR, CS 52627, F-31326 Castanet Tolosan, France; [Bret-Mestries, Emmanuelle; Champolivier, Luc] Ctr INRAE Toulouse, Terres Inovia, CS 52627, F-31326 Castanet Tolosan, France; [Dejoux, Jean-Francois] CESBio, 18 Ave Edouard Belin,BPI 2801, F-31401 Toulouse 9, France; [Maury, Pierre] ENSAT, Ave Agrobiopole,BP 32607, F-31326 Castanet Tolosan, France; [Seassau, Celia] Ecole Ingn Purpan, 75 Voie TOEC,BP 57611, F-31076 Toulouse, France</t>
  </si>
  <si>
    <t>INRAE; INRAE; Universite de Toulouse; Universite Toulouse III - Paul Sabatier; Centre National de la Recherche Scientifique (CNRS); Institut de Recherche pour le Developpement (IRD); Universite Federale Toulouse Midi-Pyrenees (ComUE); Universite de Toulouse; Institut National Polytechnique de Toulouse</t>
  </si>
  <si>
    <t>Debaeke, P (corresponding author), INRAE, UMR AGIR, CS 52627, F-31326 Castanet Tolosan, France.</t>
  </si>
  <si>
    <t>philippe.debaeke@inrae.fr</t>
  </si>
  <si>
    <t>SEASSAU, Célia/HMP-0210-2023; Casadebaig, Pierre/AAL-6998-2020</t>
  </si>
  <si>
    <t>Casadebaig, Pierre/0000-0001-7225-936X; SEASSAU, Celia/0000-0003-0937-3455; Maury, Pierre/0000-0002-1271-2334</t>
  </si>
  <si>
    <t>Ministry in charge of agriculture (DGER); Ministry in charge of agriculture (CASDAR); INRA (Agriculture Scientific Direction, Environment and Agronomy Scientific Division); Terres Inovia; Midi-Pyrenees Region; National Research Agency; PROMOSOL; GIS GCHP2E</t>
  </si>
  <si>
    <t>Ministry in charge of agriculture (DGER); Ministry in charge of agriculture (CASDAR); INRA (Agriculture Scientific Direction, Environment and Agronomy Scientific Division); Terres Inovia; Midi-Pyrenees Region(Region Occitanie); National Research Agency(Agence Nationale de la Recherche (ANR)); PROMOSOL; GIS GCHP2E</t>
  </si>
  <si>
    <t>Research on sunflower agronomy within the UMT would not have been possible without a variety of financial supports from the Ministry in charge of agriculture (via DGER for the UMT basic support and CASDAR funds for projects), INRA (Agriculture Scientific Direction, Environment and Agronomy Scientific Division), Terres Inovia, the Midi-Pyrenees Region, the National Research Agency, PROMOSOL and the GIS GCHP2E. The Agri Sud-Ouest Innovation and Competitiveness Cluster has also labelled several projects. We sincerely thanks all these actors for supporting and trusting our research during these 10 years.</t>
  </si>
  <si>
    <t>EDP SCIENCES S A</t>
  </si>
  <si>
    <t>LES ULIS CEDEX A</t>
  </si>
  <si>
    <t>17, AVE DU HOGGAR, PA COURTABOEUF, BP 112, F-91944 LES ULIS CEDEX A, FRANCE</t>
  </si>
  <si>
    <t>2272-6977</t>
  </si>
  <si>
    <t>2257-6614</t>
  </si>
  <si>
    <t>OCL OILS FAT CROP LI</t>
  </si>
  <si>
    <t>OCL Oilseed.Fats Crops Lipids</t>
  </si>
  <si>
    <t>APR 1</t>
  </si>
  <si>
    <t>10.1051/ocl/2020006</t>
  </si>
  <si>
    <t>LE2IK</t>
  </si>
  <si>
    <t>WOS:000526546600003</t>
  </si>
  <si>
    <t>Oliveira, GF; Nascimento, ACC; Nascimento, M; Sant'Anna, ID; Romero, JV; Azevedo, CF; Bhering, LL; Moura, ETC</t>
  </si>
  <si>
    <t>Oliveira, Gabriela Franca; Nascimento, Ana Carolina Campana; Nascimento, Moyses; Sant'Anna, Isabela de Castro; Romero, Juan Vicente; Azevedo, Camila Ferreira; Bhering, Leonardo Lopes; Moura, Eveline Teixeira Caixeta</t>
  </si>
  <si>
    <t>Quantile regression in genomic selection for oligogenic traits in autogamous plants: A simulation study</t>
  </si>
  <si>
    <t>QUANTITATIVE TRAITS; POPULATION-SIZE; INBRED LINES; ACCURACY; PREDICTION; PACKAGE; FUTURE</t>
  </si>
  <si>
    <t>This study assessed the efficiency of Genomic selection (GS) or genome-wide selection (GWS), based on Regularized Quantile Regression (RQR), in the selection of genotypes to breed autogamous plant populations with oligogenic traits. To this end, simulated data of an F-2 population were used, with traits with different heritability levels (0.10, 0.20 and 0.40), controlled by four genes. The generations were advanced (up to F-6) at two selection intensities (10% and 20%). The genomic genetic value was computed by RQR for different quantiles (0.10, 0.50 and 0.90), and by the traditional GWS methods, specifically RR-BLUP and BLASSO. A second objective was to find the statistical methodology that allows the fastest fixation of favorable alleles. In general, the results of the RQR model were better than or equal to those of traditional GWS methodologies, achieving the fixation of favorable alleles in most of the evaluated scenarios. At a heritability level of 0.40 and a selection intensity of 10%, RQR (0.50) was the only methodology that fixed the alleles quickly, i.e., in the fourth generation. Thus, it was concluded that the application of RQR in plant breeding, to simulated autogamous plant populations with oligogenic traits, could reduce time and consequently costs, due to the reduction of selfing generations to fix alleles in the evaluated scenarios.</t>
  </si>
  <si>
    <t>[Oliveira, Gabriela Franca; Nascimento, Ana Carolina Campana; Nascimento, Moyses; Azevedo, Camila Ferreira] Univ Fed Vicosa, Dept Stat, Vicosa, MG, Brazil; [Sant'Anna, Isabela de Castro] Agron Inst IAC, Ctr Ruber Tree &amp; Agroforestry Syst, Votuporanga, SP, Brazil; [Romero, Juan Vicente] Colombian Agr Res Corp, AGROSAVIA, Mosquera, Colombia; [Bhering, Leonardo Lopes] Univ Fed Vicosa, Dept Gen Biol, Vicosa, MG, Brazil; [Moura, Eveline Teixeira Caixeta] Empresa Brasileira Pesquisa Agr Embrapa Cafe, Brasilia, DF, Brazil</t>
  </si>
  <si>
    <t>Universidade Federal de Vicosa; Corporacion Colombiana de Investigacion Agropecuaria, AGROSAVIA; Universidade Federal de Vicosa; Empresa Brasileira de Pesquisa Agropecuaria (EMBRAPA)</t>
  </si>
  <si>
    <t>Oliveira, GF (corresponding author), Univ Fed Vicosa, Dept Stat, Vicosa, MG, Brazil.</t>
  </si>
  <si>
    <t>gabriela.franca@ufv.br</t>
  </si>
  <si>
    <t>Nascimento, Moyses/Y-8767-2019; Bhering, Leonardo/AAK-9548-2020; 'Anna, Isabela/V-6883-2018; Azevedo, Camila/AGE-4725-2022; Nascimento, Ana/AAC-6962-2019; Caixeta, Eveline/W-4459-2018; Azevedo, Camila/H-7028-2016</t>
  </si>
  <si>
    <t>Romero, Juan Vicente/0000-0002-4857-608X; Bhering, Leonardo/0000-0002-6072-0996; Franca Oliveira, Gabriela/0000-0001-9731-9293; Caixeta, Eveline/0000-0001-8850-6273; Campana Nascimento, Ana Carolina/0000-0002-6985-1490; Azevedo, Camila/0000-0003-0438-5123</t>
  </si>
  <si>
    <t>Coordination for the Improvement of Higher Education People - Brazil (CAPES) [001]</t>
  </si>
  <si>
    <t>Coordination for the Improvement of Higher Education People - Brazil (CAPES)(Coordenacao de Aperfeicoamento de Pessoal de Nivel Superior (CAPES))</t>
  </si>
  <si>
    <t>This study was financed in party by the Coordination for the Improvement of Higher Education People - Brazil (CAPES) - Finance Code 001.</t>
  </si>
  <si>
    <t>JAN 5</t>
  </si>
  <si>
    <t>e0243666</t>
  </si>
  <si>
    <t>10.1371/journal.pone.0243666</t>
  </si>
  <si>
    <t>PR2KR</t>
  </si>
  <si>
    <t>WOS:000607070700007</t>
  </si>
  <si>
    <t>Wu, PY; Tung, CW; Lee, CY; Liao, CT</t>
  </si>
  <si>
    <t>Wu, Po-Ya; Tung, Chih-Wei; Lee, Chieh-Ying; Liao, Chen-Tuo</t>
  </si>
  <si>
    <t>Genomic Prediction of Pumpkin Hybrid Performance</t>
  </si>
  <si>
    <t>PLANT GENOME</t>
  </si>
  <si>
    <t>COMBINING ABILITY; WIDE REGRESSION; SELECTION; MODELS</t>
  </si>
  <si>
    <t>Genomic prediction has become an increasingly popular tool for hybrid performance evaluation in plant breeding mainly because that it can reduce cost and accelerate a breeding program. In this study, we propose a systematic procedure to predict hybrid performance using a genomic selection (GS) model that takes both additive and dominance marker effects into account. We first demonstrate the advantage of the additive-dominance effects model over the only additive effects model through a simulation study. Based on the additive-dominance model, we predict genomic estimated breeding values (GEBVs) for individual hybrid combinations and their parental lines. The GEBV-based specific combining ability (SCA) for each hybrid and general combining ability (GCA) for its parental lines are then derived to quantify the degree of midparent heterosis (MPH) or better-parent heterosis (BPH) of the hybrid. Finally, we estimate the variance components resulting from additive and dominance gene action effects and heritability using a genomic best linear unbiased predictor (g-BLUP) model. These estimates are used to justify the results of the genomic prediction study. A pumpkin (Cucurbita spp.) data set is given to illustrate the provided procedure. The data set consists of 320 parental lines with 61,179 collected single nucleotide polymorphism (SNP) markers; 119, 120, and 120 phenotypic values of hybrids on three quantitative traits within C. maxima Duchesne; and 89, 111, and 90 phenotypic values of hybrids on the same three quantitative traits within C. moshata Dechesne.</t>
  </si>
  <si>
    <t>[Wu, Po-Ya; Tung, Chih-Wei; Liao, Chen-Tuo] Natl Taiwan Univ, Dept Agron, Taipei, Taiwan; [Lee, Chieh-Ying] Known You Seed Co Ltd, Kaohsiung, Taiwan</t>
  </si>
  <si>
    <t>Wu, Po-Ya/0000-0002-7342-2867</t>
  </si>
  <si>
    <t>Ministry of Science and Technology Taiwan [MOST 106-2118-M-002-002-MY2]</t>
  </si>
  <si>
    <t>Ministry of Science and Technology Taiwan(Ministry of Science and Technology, Taiwan)</t>
  </si>
  <si>
    <t>This research was supported by the Ministry of Science and Technology Taiwan (grant number: MOST 106-2118-M-002-002-MY2).</t>
  </si>
  <si>
    <t>1940-3372</t>
  </si>
  <si>
    <t>PLANT GENOME-US</t>
  </si>
  <si>
    <t>Plant Genome</t>
  </si>
  <si>
    <t>10.3835/plantgenome2018.10.0082</t>
  </si>
  <si>
    <t>Plant Sciences; Genetics &amp; Heredity</t>
  </si>
  <si>
    <t>IF6BO</t>
  </si>
  <si>
    <t>WOS:000473166300009</t>
  </si>
  <si>
    <t>Hammer, GL; McLean, G; Chapman, S; Zheng, BY; Doherty, A; Harrison, MT; van Oosterom, E; Jordan, D</t>
  </si>
  <si>
    <t>Hammer, Graeme L.; McLean, Greg; Chapman, Scott; Zheng, Bangyou; Doherty, Al; Harrison, Matthew T.; van Oosterom, Erik; Jordan, David</t>
  </si>
  <si>
    <t>Crop design for specific adaptation in variable dryland production environments</t>
  </si>
  <si>
    <t>crop improvement; crop modelling; G x E; genotype by environment interaction; plant breeding; trait simulation</t>
  </si>
  <si>
    <t>DROUGHT STRESS; GRAIN-SORGHUM; LEAF-AREA; YIELD; WATER; MODEL; MAIZE; TRAIT; EFFICIENCY; GENOTYPE</t>
  </si>
  <si>
    <t>Climatic variability in dryland production environments (E) generates variable yield and crop production risks. Optimal combinations of genotype (G) and management (M) depend strongly on E and thus vary among sites and seasons. Traditional crop improvement seeks broadly adapted genotypes to give best average performance under a standard management regime across the entire production region, with some subsequent manipulation of management regionally in response to average local environmental conditions. This process does not search the full spectrum of potential G x M x E combinations forming the adaptation landscape. Here we examine the potential value (relative to the conventional, broad adaptation approach) of exploiting specific adaptation arising from G x M x E. We present an in-silico analysis for sorghum production in Australia using the APSIM sorghum model. Crop design (G x M) is optimised for subsets of locations within the production region (specific adaptation) and is compared with the optimum G across all environments with locally modified M (broad adaptation). We find that geographic subregions that have frequencies of major environment types substantially different from that for the entire production region show greatest advantage for specific adaptation. Although the specific adaptation approach confers yield and production risk advantages at industry scale, even greater benefits should be achievable with better predictors of environment-type likelihood than that conferred by location alone.</t>
  </si>
  <si>
    <t>[Hammer, Graeme L.; van Oosterom, Erik] Univ Queensland, Queensland Alliance Agr &amp; Food Innovat, Brisbane, Qld 4072, Australia; [McLean, Greg; Doherty, Al] Dept Agr Forestry &amp; Fisheries, Toowoomba, Qld 4350, Australia; [Chapman, Scott; Zheng, Bangyou] CSIRO Plant Ind, Queensland Biosci Precinct, St Lucia, Qld 4067, Australia; [Harrison, Matthew T.] Tasmanian Inst Agr, Burnie, Tas 7320, Australia; [Jordan, David] Univ Queensland, Hermitage Res Stn, Queensland Alliance Agr &amp; Food Innovat, Warwick, Qld 4370, Australia</t>
  </si>
  <si>
    <t>University of Queensland; Queensland Department of Agriculture &amp; Fisheries; Commonwealth Scientific &amp; Industrial Research Organisation (CSIRO); University of Tasmania; University of Queensland</t>
  </si>
  <si>
    <t>McLean, Greg/AAE-9842-2021; Jordan, David/A-7103-2011; Harrison, Matthew/C-2434-2014; Zheng, Bangyou/D-6832-2011; Hammer, Graeme/A-3785-2008; Chapman, Scott/B-9673-2008; Harrison, Matthew/F-3843-2010</t>
  </si>
  <si>
    <t>Hammer, Graeme/0000-0002-1180-7374; Chapman, Scott/0000-0003-4732-8452; Zheng, Bangyou/0000-0003-1551-0970; Harrison, Matthew/0000-0001-7425-452X</t>
  </si>
  <si>
    <t>GRDC [UQ00065, CSP00136]</t>
  </si>
  <si>
    <t>GRDC</t>
  </si>
  <si>
    <t>We thank Andries Potgieter for supplying Fig. 1 and we acknowledge funding support from GRDC for the project on 'Crop modelling support to the Australian Grains Industry' (UQ00065) and in implementation of computing system platforms to support this work ('Climate Ready Cereals' CSP00136).</t>
  </si>
  <si>
    <t>10.1071/CP14088</t>
  </si>
  <si>
    <t>AO8FO</t>
  </si>
  <si>
    <t>WOS:000341589100004</t>
  </si>
  <si>
    <t>Alejandrino, JD; Concepcion , RS II; Bandala, AA; Sybingco, E; Vicerra, RRP; Dadios, EP</t>
  </si>
  <si>
    <t>Alejandrino, Jonnel D.; Concepcion II, Ronnie S.; Bandala, Argel A.; Sybingco, Edwin; Vicerra, Ryan Rhay P.; Dadios, Elmer P.</t>
  </si>
  <si>
    <t>Non-Invasive Plant Root Tomography Through Optimized Sonar Array Transducer Antenna Design Using Genetic Swarm Metaheuristic</t>
  </si>
  <si>
    <t>JOURNAL OF ADVANCED COMPUTATIONAL INTELLIGENCE AND INTELLIGENT INFORMATICS</t>
  </si>
  <si>
    <t>digital agriculture; digital root phenotyping; non-invasive root tomography; plant root system architec-ture; sonar array transducer antenna</t>
  </si>
  <si>
    <t>Plant root imaging is crucial for progress in various domains such as plant breeding and crop optimization. Traditionally, root tomography involves invasive methods that disrupt plant systems and yield non-reproducible results. As a result, non-invasive techniques, particularly electrical tomography, have gained significant attention. Despite the advantages, these techniques have limitations in terms of radiation efficiency and directivity due to suboptimal antenna design. This paper presents a comprehensive simulation on antenna design optimization focusing on dimensions, spacing, and integration of advanced algorithms. A micropatch transducer antenna was engineered for an existing in-silico plant root setup operating within a 3-5 MHz frequency range. The optimized dimensions of the antenna are 109.32 mm x 140.67 mm x 2.55 mm, and it resonates effectively within a frequency range of 3.1-5.68 MHz. Using scalar minimization techniques, patch transducers were inter-connected into an antenna array with an optimized 3 mm spacing. Utilizing multi-objective optimization algorithm based on sperm fertilization procedure and shuffied frog leaping algorithm, optimal frequencies were obtained at 3,989,796.88 Hz and 3,989,951.83 Hz, respectively. Validated using CADFEKO software, the proposed antenna design demonstrated distinctive voltage distribution, superior directivity of 9.24 dBi, gain of 9.15 dBi, and 98.6% radiation efficiency when compared to the existing silicon-based root tomography antenna setups.</t>
  </si>
  <si>
    <t>[Alejandrino, Jonnel D.; Bandala, Argel A.] De La Salle Univ, Dept Elect &amp; Comp Engn, 2401 Taft Ave, Manila 1004, Philippines; [Concepcion II, Ronnie S.; Sybingco, Edwin; Vicerra, Ryan Rhay P.; Dadios, Elmer P.] De La Salle Univ, Dept Mfg Engn &amp; Management, 2401 Taft Ave, Manila 1004, Philippines</t>
  </si>
  <si>
    <t>De La Salle University; De La Salle University</t>
  </si>
  <si>
    <t>Alejandrino, JD (corresponding author), De La Salle Univ, Dept Elect &amp; Comp Engn, 2401 Taft Ave, Manila 1004, Philippines.</t>
  </si>
  <si>
    <t>jonnel_alejandrino@dlsu.edu.ph; ronnie.concepcion@dlsu.edu.ph; argel.bandala@dlsu.edu.ph; edwin.sybingco@dlsu.edu.ph; ryan.vicerra@dlsu.edu.ph; elmer.dadios@dlsu.edu.ph</t>
  </si>
  <si>
    <t>Concepcion II, Ronnie/GNP-6760-2022; SYBINGCO, EDWIN/AAW-7325-2021</t>
  </si>
  <si>
    <t>Concepcion, Ronnie II/0000-0002-7611-1562; SYBINGCO, EDWIN/0000-0003-1296-3616; Dadios, Elmer/0000-0002-5751-389X</t>
  </si>
  <si>
    <t>Engineering Research and Devel-opment for Technology (ERDT) of the Department of Science and Technology, Philippines (DOST)</t>
  </si>
  <si>
    <t>This study is supported by the Engineering Research and Devel-opment for Technology (ERDT) of the Department of Science and Technology, Philippines (DOST) .</t>
  </si>
  <si>
    <t>FUJI TECHNOLOGY PRESS LTD</t>
  </si>
  <si>
    <t>1-15-7, UCHIKANDA, CHIYODA-KU, UNIZO UCHIKANDA 1-CHOME BLDG 2F, TOKYO, 101-0047, JAPAN</t>
  </si>
  <si>
    <t>1343-0130</t>
  </si>
  <si>
    <t>1883-8014</t>
  </si>
  <si>
    <t>J ADV COMPUT INTELL</t>
  </si>
  <si>
    <t>J. Adv. Comput. Intell. Inform.</t>
  </si>
  <si>
    <t>10.20965/jaciii.2024.p0059</t>
  </si>
  <si>
    <t>IK2E8</t>
  </si>
  <si>
    <t>WOS:001166145500013</t>
  </si>
  <si>
    <t>Liang, M; An, BX; Li, KN; Du, LL; Deng, TY; Cao, S; Du, YY; Xu, LY; Gao, X; Zhang, LP; Li, JY; Gao, HJ</t>
  </si>
  <si>
    <t>Liang, Mang; An, Bingxing; Li, Keanning; Du, Lili; Deng, Tianyu; Cao, Sheng; Du, Yueying; Xu, Lingyang; Gao, Xue; Zhang, Lupei; Li, Junya; Gao, Huijiang</t>
  </si>
  <si>
    <t>Improving Genomic Prediction with Machine Learning Incorporating TPE for Hyperparameters Optimization</t>
  </si>
  <si>
    <t>BIOLOGY-BASEL</t>
  </si>
  <si>
    <t>hyperparameters optimization; tree-structured Parzen estimator; genomic prediction; machine learning</t>
  </si>
  <si>
    <t>SELECTION; ACCURACY; WHEAT; TOOL</t>
  </si>
  <si>
    <t>Simple Summary Machine learning has been a crucial implement for genomic prediction. However, the complicated process of tuning hyperparameters tremendously hindered its application in actual breeding programs, especially for people without experience tuning hyperparameters. In this study, we applied a tree-structured Parzen estimator (TPE) to tune the hyperparameters of machine learning methods. Overall, incorporating kernel ridge regression (KRR) with TPE achieved the highest prediction accuracy in simulation and real datasets. Depending on excellent prediction ability, machine learning has been considered the most powerful implement to analyze high-throughput sequencing genome data. However, the sophisticated process of tuning hyperparameters tremendously impedes the wider application of machine learning in animal and plant breeding programs. Therefore, we integrated an automatic tuning hyperparameters algorithm, tree-structured Parzen estimator (TPE), with machine learning to simplify the process of using machine learning for genomic prediction. In this study, we applied TPE to optimize the hyperparameters of Kernel ridge regression (KRR) and support vector regression (SVR). To evaluate the performance of TPE, we compared the prediction accuracy of KRR-TPE and SVR-TPE with the genomic best linear unbiased prediction (GBLUP) and KRR-RS, KRR-Grid, SVR-RS, and SVR-Grid, which tuned the hyperparameters of KRR and SVR by using random search (RS) and grid search (Gird) in a simulation dataset and the real datasets. The results indicated that KRR-TPE achieved the most powerful prediction ability considering all populations and was the most convenient. Especially for the Chinese Simmental beef cattle and Loblolly pine populations, the prediction accuracy of KRR-TPE had an 8.73% and 6.08% average improvement compared with GBLUP, respectively. Our study will greatly promote the application of machine learning in GP and further accelerate breeding progress.</t>
  </si>
  <si>
    <t>[Liang, Mang; An, Bingxing; Li, Keanning; Du, Lili; Deng, Tianyu; Cao, Sheng; Du, Yueying; Xu, Lingyang; Gao, Xue; Zhang, Lupei; Li, Junya; Gao, Huijiang] Chinese Acad Agr Sci, Inst Anim Sci, Beijing 100193, Peoples R China</t>
  </si>
  <si>
    <t>Chinese Academy of Agricultural Sciences; Institute of Animal Science, CAAS</t>
  </si>
  <si>
    <t>Gao, HJ (corresponding author), Chinese Acad Agr Sci, Inst Anim Sci, Beijing 100193, Peoples R China.</t>
  </si>
  <si>
    <t>gaohuijiang@caas.cn</t>
  </si>
  <si>
    <t>Du, Lili/K-3853-2017; Xu, Lingyang/W-8664-2019; Li, Yaqiang/JDW-6591-2023</t>
  </si>
  <si>
    <t>An, Bingxing/0000-0003-4121-7364; Zhang, Lupei/0000-0001-7701-2331</t>
  </si>
  <si>
    <t>National Natural Science Foundations of China [32172693, 31872975]; Program of National Beef Cattle and Yak Industrial Technology System [CARS-37]; Technology Project of Inner Mongolia Autonomous Region [2020GG0210]</t>
  </si>
  <si>
    <t>National Natural Science Foundations of China(National Natural Science Foundation of China (NSFC)); Program of National Beef Cattle and Yak Industrial Technology System; Technology Project of Inner Mongolia Autonomous Region</t>
  </si>
  <si>
    <t>This research was funded by the National Natural Science Foundations of China (32172693), the National Natural Science Foundations of China (31872975), the Program of National Beef Cattle and Yak Industrial Technology System (CARS-37), the Technology Project of Inner Mongolia Autonomous Region (2020GG0210).</t>
  </si>
  <si>
    <t>2079-7737</t>
  </si>
  <si>
    <t>Biology-Basel</t>
  </si>
  <si>
    <t>10.3390/biology11111647</t>
  </si>
  <si>
    <t>Biology</t>
  </si>
  <si>
    <t>Life Sciences &amp; Biomedicine - Other Topics</t>
  </si>
  <si>
    <t>6V8RE</t>
  </si>
  <si>
    <t>WOS:000895306800001</t>
  </si>
  <si>
    <t>Eckersten, H; Marstorp, H; Collentine, D; Johnsson, H; Kätterer, T</t>
  </si>
  <si>
    <t>Eckersten, Henrik; Marstorp, Hakan; Collentine, Dennis; Johnsson, Holger; Katterer, Thomas</t>
  </si>
  <si>
    <t>Ecosystem C and N dynamics affected by a modified spring barley trait with increased nitrogen use - a simulation case study</t>
  </si>
  <si>
    <t>ACTA AGRICULTURAE SCANDINAVICA SECTION B-SOIL AND PLANT SCIENCE</t>
  </si>
  <si>
    <t>Plant breeding; N uptake; N utilisation; N leaching; SOC; sandy loam; Sweden</t>
  </si>
  <si>
    <t>SWEDISH AGRICULTURAL SOILS; ORGANIC-CARBON STORAGE; USE EFFICIENCY; WINTER-WHEAT; ALANINE AMINOTRANSFERASE; GENETIC-IMPROVEMENT; CEREAL CULTIVARS; CLIMATE-CHANGE; CATCH CROP; YIELD</t>
  </si>
  <si>
    <t>To what extent might a crop with increased plant N uptake efficiency and/or N demand increase plant biomass and soil carbon storage, decrease N leaching, and reduce the need for N fertilisation? This was assessed for a fertilised sandy loam site in central Sweden cultivated with spring barley for a four year period using a process based crop and soil simulation model (SOILN) calibrated to fit observations of field experiments with non-modified crops. Crop properties were changed in accordance with previous model applications to other crops with higher N uptake and utilisation efficiencies, to resemble potential effects of breeding. For the modified crops a doubling of daily uptake efficiency of soil mineral N and/or increase of radiation use efficiency by 30%, increased plant biomass by 3%-30%, decreased N leaching by 1%-30% and increased soil organic carbon (SOC) content by 1-12 g C m(-2) year(-1). The larger changes were mainly due to increased uptake efficiency. Fertilisation of the modified spring barley crop could be reduced while still producing the same plant biomass as the non-modified crop. The plant biomass to N leaching ratio of the modified crops increased. The simulated changes in plant biomass and SOC were sensitive to weather conditions suggesting that in situ experiments would need to cover a large range of weather conditions to evaluate the performance of new crop traits under climatic variability. The study suggests a strong need that field experiments are accompanied with model applications, when exploring the potential of the modified crops under variable conditions.</t>
  </si>
  <si>
    <t>[Eckersten, Henrik] Swedish Univ Agr Sci, Dept Crop Prod Ecol, Box 7043, SE-75007 Uppsala, Sweden; [Marstorp, Hakan; Collentine, Dennis; Johnsson, Holger] Swedish Univ Agr Sci, Dept Soil &amp; Environm, Uppsala, Sweden; [Collentine, Dennis] Univ Gavle, Dept Business &amp; Econ Studies, Gavle, Sweden; [Katterer, Thomas] Swedish Univ Agr Sci, Dept Ecol, Uppsala, Sweden</t>
  </si>
  <si>
    <t>Swedish University of Agricultural Sciences; Swedish University of Agricultural Sciences; University of Gavle; Swedish University of Agricultural Sciences</t>
  </si>
  <si>
    <t>Eckersten, H (corresponding author), Swedish Univ Agr Sci, Dept Crop Prod Ecol, Box 7043, SE-75007 Uppsala, Sweden.</t>
  </si>
  <si>
    <t>Henrik.Eckersten@slu.se</t>
  </si>
  <si>
    <t>Katterer, Thomas/L-2107-2013</t>
  </si>
  <si>
    <t>Katterer, Thomas/0000-0002-1751-007X</t>
  </si>
  <si>
    <t>Mistra Biotech research programme (Biotechnology for Sustainable and Competitive Agriculture and Food Systems) - Mistra (the Swedish Foundation for Strategic Environmental Research)</t>
  </si>
  <si>
    <t>This study was funded by Mistra Biotech research programme (Biotechnology for Sustainable and Competitive Agriculture and Food Systems) funded by Mistra (the Swedish Foundation for Strategic Environmental Research), and hosted by the Swedish University of Agricultural Sciences, Uppsala, Sweden. Lotta Rydhmer (SLU) is acknowledged for her comments on the study.</t>
  </si>
  <si>
    <t>TAYLOR &amp; FRANCIS AS</t>
  </si>
  <si>
    <t>OSLO</t>
  </si>
  <si>
    <t>KARL JOHANS GATE 5, NO-0154 OSLO, NORWAY</t>
  </si>
  <si>
    <t>0906-4710</t>
  </si>
  <si>
    <t>1651-1913</t>
  </si>
  <si>
    <t>ACTA AGR SCAND B-S P</t>
  </si>
  <si>
    <t>Acta Agric. Scand. Sect. B-Soil Plant Sci.</t>
  </si>
  <si>
    <t>10.1080/09064710.2017.1385835</t>
  </si>
  <si>
    <t>FY9OL</t>
  </si>
  <si>
    <t>WOS:000427196000005</t>
  </si>
  <si>
    <t>Wang, CL; Li, XJ; Qian, R; Su, GS; Zhang, Q; Ding, XD</t>
  </si>
  <si>
    <t>Wang, Chonglong; Li, Xiujin; Qian, Rong; Su, Guosheng; Zhang, Qin; Ding, Xiangdong</t>
  </si>
  <si>
    <t>Bayesian methods for jointly estimating genomic breeding values of one continuous and one threshold trait</t>
  </si>
  <si>
    <t>WIDE EVALUATION; PREDICTION; SELECTION; ACCURACY</t>
  </si>
  <si>
    <t>Genomic selection has become a useful tool for animal and plant breeding. Currently, genomic evaluation is usually carried out using a single-trait model. However, a multi-trait model has the advantage of using information on the correlated traits, leading to more accurate genomic prediction. To date, joint genomic prediction for a continuous and a threshold trait using a multi-trait model is scarce and needs more attention. Based on the previously proposed methods BayesC pi for single continuous trait and BayesTC pi for single threshold trait, we developed a novel method based on a linear-threshold model, i.e., LT-BayesC pi, for joint genomic prediction of a continuous trait and a threshold trait. Computing procedures of LT BayesC pi using Markov Chain Monte Carlo algorithm were derived. A simulation study was performed to investigate the advantages of LT-BayesC pi over BayesC pi and BayesTC pi with regard to the accuracy of genomic prediction on both traits. Factors affecting the performance of LT-BayesC pi were addressed. The results showed that, in all scenarios, the accuracy of genomic prediction obtained from LT-BayesC pi was significantly increased for the threshold trait compared to that from single trait prediction using BayesTC pi, while the accuracy for the continuous trait was comparable with that from single trait prediction using BayesC pi. The proposed LT-BayesC pi could be a method of choice for joint genomic prediction of one continuous and one threshold trait.</t>
  </si>
  <si>
    <t>[Wang, Chonglong; Qian, Rong] Anhui Acad Agr Sci, Inst Anim Husb &amp; Vet Med, Dept Pig Genet &amp; Breeding, Hefei, Peoples R China; [Li, Xiujin; Zhang, Qin; Ding, Xiangdong] China Agr Univ, Coll Anim Sci &amp; Technol, Lab Anim Genet Breeding &amp; Reprod, Minist Agr China,Natl Engn Lab Anim Breeding, Beijing, Peoples R China; [Li, Xiujin] Aarhus Univ, Dept Mol Biol &amp; Genet, Ctr Quantitat Genet &amp; Genom, Tjele, Denmark; [Li, Xiujin] Sun Yat Sen Univ, Sch Life Sci, State Key Lab Biocontrol, Guangzhou Higher Educ Mega Ctr, North Third Rd, Guangzhou, Guangdong, Peoples R China</t>
  </si>
  <si>
    <t>Anhui Academy of Agricultural Sciences; Ministry of Agriculture &amp; Rural Affairs; China Agricultural University; Aarhus University; Sun Yat Sen University</t>
  </si>
  <si>
    <t>Ding, XD (corresponding author), China Agr Univ, Coll Anim Sci &amp; Technol, Lab Anim Genet Breeding &amp; Reprod, Minist Agr China,Natl Engn Lab Anim Breeding, Beijing, Peoples R China.</t>
  </si>
  <si>
    <t>xding@cau.edu.cn</t>
  </si>
  <si>
    <t>Li, Jiaqing/HJY-6555-2023; Ding, Xiangdong/K-4971-2013</t>
  </si>
  <si>
    <t>National Natural Science Foundation of China [31371258, 31272418, 31601009]; Beijing City Committee of Science and Technology Key Project [D151100004615004]; Program for Changjiang Scholar and Innovation Research Team [IRT1191]; Anhui International Technology Cooperation Plan Project [1503062014]; Anhui Science and Technology Key Project [16030701069]; National Swine Industry Technology System [CARS-36]; Anhui Swine Industry Technology System [AHCYTX-0610]; Anhui Finance Project for Animal Husbandry Development; Anhui Modern Agricultural Projects; Maanshan Science and Technology Plan Project [NY-2015-01]; Anhui Academy of Agricultural Sciences President Innovation Fund Project for Outstanding Youth [1360405]; Anhui Academy of Agricultural Science and Technology Innovation Team Building Project [13C0405]</t>
  </si>
  <si>
    <t>National Natural Science Foundation of China(National Natural Science Foundation of China (NSFC)); Beijing City Committee of Science and Technology Key Project; Program for Changjiang Scholar and Innovation Research Team; Anhui International Technology Cooperation Plan Project; Anhui Science and Technology Key Project; National Swine Industry Technology System; Anhui Swine Industry Technology System; Anhui Finance Project for Animal Husbandry Development; Anhui Modern Agricultural Projects; Maanshan Science and Technology Plan Project; Anhui Academy of Agricultural Sciences President Innovation Fund Project for Outstanding Youth; Anhui Academy of Agricultural Science and Technology Innovation Team Building Project</t>
  </si>
  <si>
    <t>This work was supported by grants from the National Natural Science Foundation of China (31371258, 31272418, 31601009), Beijing City Committee of Science and Technology Key Project (D151100004615004), the Program for Changjiang Scholar and Innovation Research Team (Grant No. IRT1191), the Anhui International Technology Cooperation Plan Project (1503062014), Anhui Science and Technology Key Project (16030701069), the National Swine Industry Technology System (CARS-36), the Anhui Swine Industry Technology System (AHCYTX-0610), the Anhui Finance Project for Animal Husbandry Development, the Anhui Modern Agricultural Projects, the Maanshan Science and Technology Plan Project (NY-2015-01), the Anhui Academy of Agricultural Sciences President Innovation Fund Project for Outstanding Youth (1360405) and the Anhui Academy of Agricultural Science and Technology Innovation Team Building Project (13C0405). The funders had no role in study design, data collection and analysis, decision to publish, or preparation of the manuscript.</t>
  </si>
  <si>
    <t>APR 14</t>
  </si>
  <si>
    <t>e0175448</t>
  </si>
  <si>
    <t>10.1371/journal.pone.0175448</t>
  </si>
  <si>
    <t>ET0MD</t>
  </si>
  <si>
    <t>WOS:000399955600019</t>
  </si>
  <si>
    <t>Hoogenboom, G; White, JW; Messina, CD</t>
  </si>
  <si>
    <t>From genome to crop: integration through simulation modeling</t>
  </si>
  <si>
    <t>Annual Meeting of the Crop-Science-Society-of-America</t>
  </si>
  <si>
    <t>NOV, 2003</t>
  </si>
  <si>
    <t>Denver, CO</t>
  </si>
  <si>
    <t>Crop Sci Soc Amer</t>
  </si>
  <si>
    <t>common bean; genomics; global warming; temperature; crop simulation model</t>
  </si>
  <si>
    <t>DRY BEAN MODEL; PHOTOPERIOD RESPONSE; GENETIC COEFFICIENTS; SOYBEAN PERFORMANCE; SYSTEMS BIOLOGY; CLIMATE-CHANGE; PLANTING DATE; GROWTH-MODEL; ADAPTATION; PNUTGRO</t>
  </si>
  <si>
    <t>Crop models use mathematical equations to simulate growth, development and yield as a function of weather, soil conditions and crop management. Such models integrate scientific knowledge from diverse agronomic disciplines, ranging from plant breeding to soil physics. Most crop models use one or more cultivar-specific parameters to identify differences in performance among cultivars. Until recently, however, there was little relation between cultivar-specific parameters and genotypes. The GeneGro model simulates the impact of seven genes on physiological processes in common bean (Phaseolus vulgaris L.), specifying cultivar differences through the presence or absence of the seven genes. The model was based on the bean model BEANGRO. GeneGro has now been incorporated into the cropping system model (CSM), which can simulate growth and development for more than 20 different crops, although the CSM-GeneGro version is currently implemented only for common bean and soybean [Glycine max (L.) Merr.]. Gene-based models can provide a well-structured linkage between functional genomics and crop physiology, especially as more genes are identified and their functions are clarified. Incorporating genetic information strengthens underlying physiological assumptions of the model, improving its utility for research in crop improvement, crop management, global change, and other fields. We first briefly review issues related to development of gene-based models, ranging from modeling approaches to data management. The CSM-GeneGro model is then used to show how specific genes can simulate both yield levels and yield variability for three locations in the USA. The model is also used to examine how single genes can affect crop response to global change. Gene-based modeling approaches could significantly enhance our ability to predict how global change will impact agricultural production, but modelers and physiologists will have to be proactive in accessing information and tools being developed in the plant genomics community. (C) 2004 Elsevier B.V. All rights reserved.</t>
  </si>
  <si>
    <t>Univ Georgia, Dept Biol &amp; Agr Engn, Griffin, GA 30223 USA; USDA ARS, US Water Conservat Lab, Phoenix, AZ 85040 USA; Univ Florida, Dept Agr &amp; Biol Engn, Gainesville, FL 32611 USA</t>
  </si>
  <si>
    <t>University System of Georgia; University of Georgia; United States Department of Agriculture (USDA); State University System of Florida; University of Florida</t>
  </si>
  <si>
    <t>Messina, Carlos/0000-0002-5501-9281</t>
  </si>
  <si>
    <t>NOV 8</t>
  </si>
  <si>
    <t>10.1016/j.fcr.2004.07.014</t>
  </si>
  <si>
    <t>860QK</t>
  </si>
  <si>
    <t>WOS:000224357900012</t>
  </si>
  <si>
    <t>Jannink, JL; Astudillo, R; Frazier, P</t>
  </si>
  <si>
    <t>Jannink, Jean-Luc; Astudillo, Raul; Frazier, Peter</t>
  </si>
  <si>
    <t>Insight into a two-part plant breeding scheme through Bayesian optimization of budget allocations</t>
  </si>
  <si>
    <t>GENOMIC SELECTION</t>
  </si>
  <si>
    <t>The total budget of a breeding program must be divided across its different parts to maximize gain. How to optimize budget allocations for a two-part strategy breeding scheme is an unsolved problem. We used Bayesian optimization coupled with stochastic simulations of breeding schemes to determine budget allocations that maximized gain. The breeding schemes focused on a clonal crop and included a population improvement cycle (PIC) allowing one or two breeding cycles per year leading to phenotypic evaluations in a variety development pipeline (VDP) with three stages. The gain was maximized at target years 6 or 12 after initiation of genomic selection. The breeding scheme was simulated using the AlphaSimR package. Bayesian optimization was implemented using the BoTorch module of Python to optimize budget allocations to the PIC and each stage of the VDP. Allocations to the last stage of the VDP were small because information from that stage was relatively ineffective at improving genomic prediction accuracy. An unexpected interaction between the number of PIC cycles and the target year for gain affected the budget of the PIC and could be explained by conflicting needs to increase gain in the VDP or increase genomic prediction accuracy. Divergent budget allocations could generate selection gains close to the maximum, indicating some leeway in the design of breeding schemes. Simple rules of thumb for heuristic optimization did not emerge, suggesting that breeders will need to rely on simulation coupled to optimization. Optimizing budget allocations to maximize gain is an unsolved problem under genomic selection. We used Bayesian optimization coupled to stochastic simulation to solve this problem. The response surface close to the optimum was relatively flat, suggesting flexibility in budget allocations. An interaction between the number of population improvement cycles per year and the target year affected the optimal budget. Later stage evaluations were ineffective for genomic prediction training and received low budget allocations.</t>
  </si>
  <si>
    <t>[Jannink, Jean-Luc] Cornell Univ, Sch Integrat Plant Sci, Plant Breeding &amp; Genet Sect, Ithaca, NY USA; [Jannink, Jean-Luc] USDA ARS, Robert W Holley Ctr Agr &amp; Hlth, Ithaca, NY USA; [Astudillo, Raul] CALTECH, Dept Comp &amp; Math Sci, Div Engn &amp; Appl Sci, Pasadena, CA USA; [Astudillo, Raul; Frazier, Peter] Cornell Univ, Sch Operat Res &amp; Informat Engn, Ithaca, NY USA; [Jannink, Jean-Luc] USDA ARS, Robert W Holley Ctr Agr &amp; Hlth, Ithaca, NY 14853 USA</t>
  </si>
  <si>
    <t>Cornell University; United States Department of Agriculture (USDA); California Institute of Technology; Cornell University; United States Department of Agriculture (USDA)</t>
  </si>
  <si>
    <t>Jannink, JL (corresponding author), USDA ARS, Robert W Holley Ctr Agr &amp; Hlth, Ithaca, NY 14853 USA.</t>
  </si>
  <si>
    <t>jeanluc.work@gmail.com</t>
  </si>
  <si>
    <t>Bill and Melinda Gates Foundation; NextGen Cassava project [INV-007637]; Bill &amp; Melinda Gates Foundation; UK's Foreign, Commonwealth &amp; Development Office (FCDO)</t>
  </si>
  <si>
    <t>Bill and Melinda Gates Foundation(Bill &amp; Melinda Gates Foundation); NextGen Cassava project; Bill &amp; Melinda Gates Foundation(Bill &amp; Melinda Gates FoundationBill &amp; Melinda Gates Foundation Grand Challenges Explorations InitiativeCGIAR); UK's Foreign, Commonwealth &amp; Development Office (FCDO)</t>
  </si>
  <si>
    <t>This work was supported by the NextGen Cassava project, through a grant to Cornell University from the Bill &amp; Melinda Gates Foundation (Grant INV-007637 http://www.gatesfoundation.org) and the UK's Foreign, Commonwealth &amp; Development Office (FCDO). Data to parameterize genetic and error variances of different breeding stages were obtained from the IITA cassava breeding program led by Dr. Ismail Rabbi and analyzed by Dr. Moshood Bakare. We thank David Waring who set up the Docker container in which analyses were performed.</t>
  </si>
  <si>
    <t>10.1002/csc2.21124</t>
  </si>
  <si>
    <t>FEB 2024</t>
  </si>
  <si>
    <t>P5K8I</t>
  </si>
  <si>
    <t>WOS:001173279500001</t>
  </si>
  <si>
    <t>Cheng, Q; Jiang, SQ; Xu, F; Wang, Q; Xiao, YJ; Zhang, RY; Zhao, JR; Yan, JB; Ma, C; Wang, XF</t>
  </si>
  <si>
    <t>Cheng, Qian; Jiang, Shuqing; Xu, Feng; Wang, Qian; Xiao, Yingjie; Zhang, Ruyang; Zhao, Jiuran; Yan, Jianbing; Ma, Chuang; Wang, Xiangfeng</t>
  </si>
  <si>
    <t>Genome optimization via virtual simulation to accelerate maize hybrid breeding</t>
  </si>
  <si>
    <t>plant breeding; Zea mays; genomic selection; genotype-to-phenotype prediction; computational simulation; doubled haploid</t>
  </si>
  <si>
    <t>DOUBLED HAPLOIDS; SELECTION; PLANT; HETEROSIS; YIELD; PREDICTION; GENETICS; TRAITS; RECOMBINATION; INSIGHTS</t>
  </si>
  <si>
    <t>The employment of doubled-haploid (DH) technology in maize has vastly accelerated the efficiency of developing inbred lines. The selection of superior lines has to rely on genotypes with genomic selection (GS) model, rather than phenotypes due to the high expense of field phenotyping. In this work, we implemented 'genome optimization via virtual simulation (GOVS)' using the genotype and phenotype data of 1404 maize lines and their F-1 progeny. GOVS simulates a virtual genome encompassing the most abundant 'optimal genotypes' or 'advantageous alleles' in a genetic pool. Such a virtually optimized genome, although can never be developed in reality, may help plot the optimal route to direct breeding decisions. GOVS assists in the selection of superior lines based on the genomic fragments that a line contributes to the simulated genome. The assumption is that the more fragments of optimal genotypes a line contributes to the assembly, the higher the likelihood of the line favored in the F-1 phenotype, e.g. grain yield. Compared to traditional GS method, GOVS-assisted selection may avoid using an arbitrary threshold for the predicted F-1 yield to assist selection. Additionally, the selected lines contributed complementary sets of advantageous alleles to the virtual genome. This feature facilitates plotting the optimal route for DH production, whereby the fewest lines and F-1 combinations are needed to pyramid a maximum number of advantageous alleles in the new DH lines. In summary, incorporation of DH production, GS and genome optimization will ultimately improve genomically designed breeding in maize. Short abstract: Doubled-haploid (DH) technology has been widely applied in maize breeding industry, as it greatly shortens the period of developing homozygous inbred lines via bypassing several rounds of self-crossing. The current challenge is how to efficiently screen the large volume of inbred lines based on genotypes. We present the toolbox of genome optimization via virtual simulation (GOVS), which complements the traditional genomic selection model. GOVS simulates a virtual genome encompassing the most abundant 'optimal genotypes' in a breeding population, and then assists in selection of superior lines based on the genomic fragments that a line contributes to the simulated genome. Availability of GOVS (https://govs-pack.github.io/) to the public may ultimately facilitate genomically designed breeding in maize.</t>
  </si>
  <si>
    <t>[Cheng, Qian; Ma, Chuang] Northwest A&amp;F Univ, Coll Life Sci, Ctr Bioinformat, State Key Lab Crop Stress Biol Arid Areas,Bioinfo, Yangling, Shaanxi, Peoples R China; [Jiang, Shuqing] China Agr Univ, Biostat, Natl Maize Improvement Ctr, Beijing, Peoples R China; [Xu, Feng; Wang, Qian] China Agr Univ, Natl Maize Improvement Ctr, Bioinformat, Beijing, Peoples R China; [Xiao, Yingjie; Yan, Jianbing] Huazhong Agr Univ, Natl Key Lab Crop Genet Improvement, Coll Plant Sci &amp; Technol, Wuhan, Peoples R China; [Zhang, Ruyang; Zhao, Jiuran] Beijing Acad Agr &amp; Forestry Sci, Maize Res Ctr, Beijing, Peoples R China; [Wang, Xiangfeng] China Agr Univ, Plant Breeding, Sanya Inst, Haikou, Hainan, Peoples R China; [Wang, Xiangfeng] China Agr Univ, Natl Maize Improvement Ctr, Beijing 100094, Peoples R China</t>
  </si>
  <si>
    <t>Northwest A&amp;F University - China; China Agricultural University; China Agricultural University; Huazhong Agricultural University; Beijing Academy of Agriculture &amp; Forestry Sciences (BAAFS); China Agricultural University; China Agricultural University</t>
  </si>
  <si>
    <t>Wang, XF (corresponding author), China Agr Univ, Sanya Inst, Sanya 572000, Peoples R China.;Ma, C (corresponding author), Northwest A&amp;F Univ, Coll Life Sci, Ctr Bioinformat, State Key Lab Crop Stress Biol Arid Areas, Yangling 712100, Shaanxi, Peoples R China.;Wang, XF (corresponding author), China Agr Univ, Natl Maize Improvement Ctr, Beijing 100094, Peoples R China.</t>
  </si>
  <si>
    <t>cma@nwafu.edu.cn; xwang@cau.edu.cn</t>
  </si>
  <si>
    <t>Xu, Feng/H-4468-2011; xu, jiacheng/JED-3896-2023; CHENG, 芊/KXQ-6447-2024; Ma, Chuang/H-7948-2012; wang, xia/HJI-5034-2023</t>
  </si>
  <si>
    <t>Wang, Xiangfeng/0000-0002-6406-5597; Wang, Qian/0000-0003-0436-3362; Ma, Chuang/0000-0001-9612-7898</t>
  </si>
  <si>
    <t>National Key Research and Development Program of China [2018YFA0901000]; National Science Foundation of China [31871706]; China Postdoctoral Science Foundation [2020TQ0355]; 2115 Talent Development Program at China Agricultural University; Research Program of Sanya Yazhou Bay Science and Technology City [SKJC-2020-02-003]</t>
  </si>
  <si>
    <t>National Key Research and Development Program of China(National Key Research &amp; Development Program of China); National Science Foundation of China(National Natural Science Foundation of China (NSFC)); China Postdoctoral Science Foundation(China Postdoctoral Science Foundation); 2115 Talent Development Program at China Agricultural University; Research Program of Sanya Yazhou Bay Science and Technology City</t>
  </si>
  <si>
    <t>This work was supported by the National Key Research and Development Program of China (2018YFA0901000), the 2020 Research Program of Sanya Yazhou Bay Science and Technology City (SKJC-2020-02-003), the National Science Foundation of China (31871706), the China Postdoctoral Science Foundation (2020TQ0355) and the 2115 Talent Development Program at China Agricultural University.</t>
  </si>
  <si>
    <t>JAN 17</t>
  </si>
  <si>
    <t>bbab447</t>
  </si>
  <si>
    <t>10.1093/bib/bbab447</t>
  </si>
  <si>
    <t>ZK5AS</t>
  </si>
  <si>
    <t>WOS:000763000800122</t>
  </si>
  <si>
    <t>Richter, C; Kroschewski, B; Piepho, HP; Spilke, J</t>
  </si>
  <si>
    <t>Richter, C.; Kroschewski, B.; Piepho, H. -P.; Spilke, J.</t>
  </si>
  <si>
    <t>Treatment comparisons in agricultural field trials accounting for spatial correlation</t>
  </si>
  <si>
    <t>PLANT-BREEDING TRIALS; RESTRICTED MAXIMUM-LIKELIHOOD; LINEAR VARIANCE MODELS; NEIGHBOR ANALYSES; PLOT EXPERIMENTS; MIXED MODELS; HYPOTHESES; COVARIANCE; STATISTICS; SIMULATION</t>
  </si>
  <si>
    <t>The classical analysis model for agricultural field trials is based on the principles of experimental design - randomization, replication and blocking - and it assumes independent residual effects. Accounting for any existent spatial correlation as an add-on component may be beneficial, but it requires selection of a suitable spatial model and modification of classical tests of treatment contrasts. Using a sugar beet trial laid out in complete blocks for illustration, it is shown that tests obtained with different modifications yield diverging results. Simulations were performed to decide whether different test modifications lead to valid statistical inferences. For the spherical, power and Gaussian models, each with six different values of the range parameter and without a nugget effect, the suitability of the following modifications was studied: a generalization of the Satterthwaite method (1941), the method of Kenward and Roger (1997), and the first-order corrected method described by Kenward and Roger (2009). A second-order method described by Kenward and Roger (2009) is also discussed and detailed results are provided as Supplemental Material (available at: http://journals.cambridge.org/AGS). Simulations were done for experiments with 10 or 30 treatments in complete and incomplete block designs. Model selection was performed using the corrected Akaike information criterion and likelihood-ratio tests. When simulation and analysis models were identical, at least one of the modifications for the t-test guaranteed control of the nominal Type I error rate in most cases. When the first-order method of Kenward and Roger was used, control of the t-test Type I error rate was poor for 10 treatments but on average very good for 30 treatments, when considering the best-fitting models for a given simulation setting. Results were not satisfactory for the F-test. The more pronounced the spatial correlation, the more substantial was the gain in power compared to classical analysis. For experiments with 20 treatments or more, the recommendation is to select the best-fitting model and then use the first-order method for t-tests. For F-tests, a randomization-based model with independent error effects should be used.</t>
  </si>
  <si>
    <t>[Richter, C.; Kroschewski, B.] Humboldt Univ, Fac Life Sci, Albrecht Daniel Thaer Inst Agr &amp; Hort Sci, D-10099 Berlin, Germany; [Piepho, H. -P.] Univ Hohenheim, Inst Crop Sci, Fac Agr Sci, D-70599 Stuttgart, Germany; [Spilke, J.] Univ Halle Wittenberg, Inst Agr &amp; Nutrit Sci, D-06099 Halle, Germany</t>
  </si>
  <si>
    <t>Humboldt University of Berlin; University Hohenheim; Martin Luther University Halle Wittenberg</t>
  </si>
  <si>
    <t>Piepho, HP (corresponding author), Univ Hohenheim, Inst Crop Sci, Fac Agr Sci, D-70599 Stuttgart, Germany.</t>
  </si>
  <si>
    <t>Piepho, Hans-Peter/0000-0001-7813-2992; Kroschewski, Barbel/0000-0002-7725-4485</t>
  </si>
  <si>
    <t>10.1017/S0021859614000823</t>
  </si>
  <si>
    <t>CO6TF</t>
  </si>
  <si>
    <t>WOS:000359288500004</t>
  </si>
  <si>
    <t>Rembe, M; Zhao, Y; Wendler, N; Oldach, K; Korzun, V; Reif, JC</t>
  </si>
  <si>
    <t>Rembe, Maximilian; Zhao, Yusheng; Wendler, Neele; Oldach, Klaus; Korzun, Viktor; Reif, Jochen C.</t>
  </si>
  <si>
    <t>The Potential of Genome-Wide Prediction to Support Parental Selection, Evaluated with Data from a Commercial Barley Breeding Program</t>
  </si>
  <si>
    <t>PLANTS-BASEL</t>
  </si>
  <si>
    <t>usefulness criterion; variance prediction; long-term genomic selection; superior progeny</t>
  </si>
  <si>
    <t>GENETIC VARIANCE; CROSSES; QUALITY; TRAITS; YIELD; LOCI</t>
  </si>
  <si>
    <t>Parental selection is at the beginning and contributes significantly to the success of any breeding work. The value of a cross is reflected in the potential of its progeny population. Breeders invest substantial resources in evaluating progeny to select the best performing genotypes as candidates for variety development. Several proposals have been made to use genomics to support parental selection. These have mostly been evaluated using theoretical considerations or simulation studies. However, evaluations using experimental data have rarely been conducted. In this study, we tested the potential of genomic prediction for predicting the progeny mean, variance, and usefulness criterion using data from an applied breeding population for winter barley. For three traits with genetic architectures at varying levels of complexity, ear emergence, plant height, and grain yield, progeny mean, variance, and usefulness criterion were predicted and validated in scenarios resembling situations in which the described tools shall be used in plant breeding. While the population mean could be predicted with moderate to high prediction abilities amounting to 0.64, 0.21, and 0.39 in ear emergence, plant height, and grain yield, respectively, the prediction of family variance appeared difficult, as reflected in low prediction abilities of 0.41, 0.11, and 0.14, for ear emergence, plant height, and grain yield, respectively. We have shown that identifying superior crosses remains a challenging task and suggest that the success of predicting the usefulness criterion depends strongly on the complexity of the underlying trait.</t>
  </si>
  <si>
    <t>[Rembe, Maximilian; Zhao, Yusheng; Reif, Jochen C.] Leibniz Inst Plant Genet &amp; Crop Plant Res IPK, Dept Breeding Res, D-06466 Gatersleben, Germany; [Wendler, Neele; Oldach, Klaus] KWS LOCHOW GmbH, Ferdinand von Lochow Str 5, D-29303 Bergen, Germany; [Korzun, Viktor] KWS SAAT SE &amp; Co KGaA, Grimsehlstr 31, D-37574 Einbeck, Germany</t>
  </si>
  <si>
    <t>Leibniz Institut fur Pflanzengenetik und Kulturpflanzenforschung; KWS Saat AG</t>
  </si>
  <si>
    <t>Reif, JC (corresponding author), Leibniz Inst Plant Genet &amp; Crop Plant Res IPK, Dept Breeding Res, D-06466 Gatersleben, Germany.</t>
  </si>
  <si>
    <t>reif@ipk-gatersleben.de</t>
  </si>
  <si>
    <t>Wendler, Neele/LRT-7670-2024; Korzun, Viktor/U-6352-2019</t>
  </si>
  <si>
    <t>Korzun, Viktor/0000-0003-0760-8249; Oldach, Klaus/0000-0002-7114-2650</t>
  </si>
  <si>
    <t>Federal Ministry of Education and Research [FKZ 031B0190A]</t>
  </si>
  <si>
    <t>Federal Ministry of Education and Research(Federal Ministry of Education &amp; Research (BMBF))</t>
  </si>
  <si>
    <t>This research was funded by Federal Ministry of Education and Research (Grant No. FKZ 031B0190A).</t>
  </si>
  <si>
    <t>2223-7747</t>
  </si>
  <si>
    <t>Plants-Basel</t>
  </si>
  <si>
    <t>10.3390/plants11192564</t>
  </si>
  <si>
    <t>5G4WH</t>
  </si>
  <si>
    <t>WOS:000867000300001</t>
  </si>
  <si>
    <t>Udvardi, M; Below, FE; Castellano, MJ; Eagle, AJ; Giller, KE; Ladha, JK; Liu, XJ; Maaz, TM; Nova-Franco, B; Raghuram, N; Robertson, GP; Roy, S; Saha, M; Schmidt, S; Tegeder, M; York, LM; Peters, JW</t>
  </si>
  <si>
    <t>Udvardi, Michael; Below, Frederick E.; Castellano, Michael J.; Eagle, Alison J.; Giller, Ken E.; Ladha, Jagdish Kumar; Liu, Xuejun; Maaz, Tai McClellan; Nova-Franco, Barbara; Raghuram, Nandula; Robertson, G. Philip; Roy, Sonali; Saha, Malay; Schmidt, Susanne; Tegeder, Mechthild; York, Larry M.; Peters, John W.</t>
  </si>
  <si>
    <t>A Research Road Map for Responsible Use of Agricultural Nitrogen</t>
  </si>
  <si>
    <t>FRONTIERS IN SUSTAINABLE FOOD SYSTEMS</t>
  </si>
  <si>
    <t>agronomy; biological nitrogen fixation; breeding; microbiome; nitrogen use efficiency; policy; soil health; roots</t>
  </si>
  <si>
    <t>ZEA-MAYS L.; FLOODED MULCHING CULTIVATION; USE EFFICIENCY; FERTILIZER NITROGEN; CROP PRODUCTION; NUTRIENT-UPTAKE; UPPER MIDWEST; WINTER-WHEAT; SUSTAINABLE INTENSIFICATION; ENVIRONMENTAL PERFORMANCE</t>
  </si>
  <si>
    <t>Nitrogen (N) is an essential but generally limiting nutrient for biological systems. Development of the Haber-Bosch industrial process for ammonia synthesis helped to relieve N limitation of agricultural production, fueling the Green Revolution and reducing hunger. However, the massive use of industrial N fertilizer has doubled the N moving through the global N cycle with dramatic environmental consequences that threaten planetary health. Thus, there is an urgent need to reduce losses of reactive N from agriculture, while ensuring sufficient N inputs for food security. Here we review current knowledge related to N use efficiency (NUE) in agriculture and identify research opportunities in the areas of agronomy, plant breeding, biological N fixation (BNF), soil N cycling, and modeling to achieve responsible, sustainable use of N in agriculture. Amongst these opportunities, improved agricultural practices that synchronize crop N demand with soil N availability are low-hanging fruit. Crop breeding that targets root and shoot physiological processes will likely increase N uptake and utilization of soil N, while breeding for BNF effectiveness in legumes will enhance overall system NUE. Likewise, engineering of novel N-fixing symbioses in non-legumes could reduce the need for chemical fertilizers in agroecosystems but is a much longer-term goal. The use of simulation modeling to conceptualize the complex, interwoven processes that affect agroecosystem NUE, along with multi-objective optimization, will also accelerate NUE gains.</t>
  </si>
  <si>
    <t>[Udvardi, Michael; Nova-Franco, Barbara; Roy, Sonali; Saha, Malay; York, Larry M.] Noble Res Inst LLC, Ardmore, OK 73401 USA; [Below, Frederick E.] Univ Illinois, Dept Crop Sci, Urbana, IL 61801 USA; [Castellano, Michael J.] Iowa State Univ, Dept Agron, Ames, IA USA; [Eagle, Alison J.] Environm Def Fund, Raleigh, NC USA; [Giller, Ken E.] Wageningen Univ, Dept Plant Sci, Plant Prod Syst Grp, Wageningen, Netherlands; [Ladha, Jagdish Kumar] Univ Calif Davis, Dept Plant Sci, Davis, CA 95616 USA; [Liu, Xuejun] China Agr Univ, Coll Resources &amp; Environm Sci, Beijing, Peoples R China; [Maaz, Tai McClellan] Univ Hawaii Manoa, Dept Trop Plant &amp; Soil Sci, Honolulu, HI 96822 USA; [Raghuram, Nandula] Guru Gobind Singh Indraprastha Univ, Sch Biotechnol, New Delhi, India; [Robertson, G. Philip] Michigan State Univ, WK Kellogg Biol Stn, Hickory Corners, MI USA; [Robertson, G. Philip] Michigan State Univ, Dept Plant Soil &amp; Microbial Sci, Hickory Corners, MI USA; [Schmidt, Susanne] Univ Queensland, Sch Agr &amp; Food Sci, Brisbane, Qld, Australia; [Tegeder, Mechthild] Washington State Univ, Sch Biol Sci, Pullman, WA 99164 USA; [Peters, John W.] Washington State Univ, Inst Biol Chem, Pullman, WA 99164 USA; [Roy, Sonali] Tennessee State Univ, Nashville, TN 37203 USA</t>
  </si>
  <si>
    <t>Noble Research Institute; University of Illinois System; University of Illinois Urbana-Champaign; Iowa State University; Environmental Defense Fund; Wageningen University &amp; Research; University of California System; University of California Davis; China Agricultural University; University of Hawaii System; University of Hawaii Manoa; GGS Indraprastha University; Michigan State University; Michigan State University; University of Queensland; Washington State University; Washington State University; Tennessee State University</t>
  </si>
  <si>
    <t>Udvardi, M (corresponding author), Noble Res Inst LLC, Ardmore, OK 73401 USA.;Peters, JW (corresponding author), Washington State Univ, Inst Biol Chem, Pullman, WA 99164 USA.</t>
  </si>
  <si>
    <t>mudvardi@noble.org; jw.peters@wsu.edu</t>
  </si>
  <si>
    <t>Schmidt, Susanne/B-2780-2009; Giller, Ken/K-2799-2012; Below, Frederick/HTN-7340-2023; Eagle, Alison/AAN-7484-2021; Udvardi, Michael/GPX-4653-2022; York, Larry/H-8451-2019; Castellano, Michael/A-9687-2008; Ladha, Jagdish/T-5202-2019; Liu, Xuejun/AAA-7412-2022; Robertson, G Philip/H-3885-2011; Roy, Sonali/I-1576-2019; Raghuram, Nandula/F-5775-2011</t>
  </si>
  <si>
    <t>Robertson, G Philip/0000-0001-9771-9895; Roy, Sonali/0000-0002-8114-8300; Raghuram, Nandula/0000-0002-9486-754X; Udvardi, Michael/0000-0001-9850-0828; York, Larry/0000-0002-1995-9479</t>
  </si>
  <si>
    <t>NSF Research Coordination Network, PlaNNet [IOS-1444832]; US National Science Foundation [IOS-1457183, 1832042]; US Department of Agriculture/National Institute of Food and Agriculture (NIFA) [2017-67013-26158, 2017-67007-25948]; Direct For Biological Sciences; Division Of Environmental Biology [1832042] Funding Source: National Science Foundation</t>
  </si>
  <si>
    <t>NSF Research Coordination Network, PlaNNet; US National Science Foundation(National Science Foundation (NSF)); US Department of Agriculture/National Institute of Food and Agriculture (NIFA)(United States Department of Agriculture (USDA)); Direct For Biological Sciences; Division Of Environmental Biology(National Science Foundation (NSF)NSF - Directorate for Biological Sciences (BIO))</t>
  </si>
  <si>
    <t>This work was primarily supported by the NSF Research Coordination Network, PlaNNet, grant awarded to MU and JP (grant #IOS-1444832). Additional support for individual authors includes grants from the US National Science Foundation (grant #IOS-1457183 to MT, #1832042 to GR), and the US Department of Agriculture/National Institute of Food and Agriculture (NIFA; Grant no. 2017-67013-26158 toMTand grant no. 2017-67007-25948 to LY).</t>
  </si>
  <si>
    <t>2571-581X</t>
  </si>
  <si>
    <t>FRONT SUSTAIN FOOD S</t>
  </si>
  <si>
    <t>Front. Sustain. Food Syst.</t>
  </si>
  <si>
    <t>MAY 31</t>
  </si>
  <si>
    <t>10.3389/fsufs.2021.660155</t>
  </si>
  <si>
    <t>Food Science &amp; Technology</t>
  </si>
  <si>
    <t>SR6IJ</t>
  </si>
  <si>
    <t>WOS:000661146300001</t>
  </si>
  <si>
    <t>Hem, IG; Selle, ML; Gorjanc, G; Fuglstad, GA; Riebler, A</t>
  </si>
  <si>
    <t>Hem, Ingeborg Gullikstad; Selle, Maria Lie; Gorjanc, Gregor; Fuglstad, Geir-Arne; Riebler, Andrea</t>
  </si>
  <si>
    <t>Robust modeling of additive and nonadditive variation with intuitive inclusion of expert knowledge</t>
  </si>
  <si>
    <t>Bayesian analysis; expert knowledge; genomic selection; hierarchical variance decomposition; nonadditive genetic variation</t>
  </si>
  <si>
    <t>WHOLE-GENOME PREDICTION; GENETIC VARIANCE; BAYESIAN METHODS; GRAIN-YIELD; DOMINANCE; SELECTION; EPISTASIS; TRAITS; WHEAT; ACCURACY</t>
  </si>
  <si>
    <t>We propose a novel Bayesian approach that robustifies genomic modeling by leveraging expert knowledge (EK) through prior distributions. The central component is the hierarchical decomposition of phenotypic variation into additive and nonadditive genetic variation, which leads to an intuitive model parameterization that can be visualized as a tree. The edges of the tree represent ratios of variances, for example broad-sense heritability, which are quantities for which EK is natural to exist. Penalized complexity priors are defined for all edges of the tree in a bottom-up procedure that respects the model structure and incorporates EK through all levels. We investigate models with different sources of variation and compare the performance of different priors implementing varying amounts of EK in the context of plant breeding. A simulation study shows that the proposed priors implementing EK improve the robustness of genomic modeling and the selection of the genetically best individuals in a breeding program. We observe this improvement in both variety selection on genetic values and parent selection on additive values; the variety selection benefited the most. In a real case study, EK increases phenotype prediction accuracy for cases in which the standard maximum likelihood approach did not find optimal estimates for the variance components. Finally, we discuss the importance of EK priors for genomic modeling and breeding, and point to future research areas of easy-to-use and parsimonious priors in genomic modeling.</t>
  </si>
  <si>
    <t>[Hem, Ingeborg Gullikstad; Selle, Maria Lie; Fuglstad, Geir-Arne; Riebler, Andrea] Norwegian Univ Sci &amp; Technol, Dept Math Sci, N-7034 Trondheim, Norway; [Gorjanc, Gregor] Univ Edinburgh, Roslin Inst, Edinburgh EH25 9RG, Midlothian, Scotland; [Gorjanc, Gregor] Univ Edinburgh, Royal Dick Sch Vet Studies, Edinburgh EH25 9RG, Midlothian, Scotland</t>
  </si>
  <si>
    <t>Norwegian University of Science &amp; Technology (NTNU); UK Research &amp; Innovation (UKRI); Biotechnology and Biological Sciences Research Council (BBSRC); Roslin Institute; University of Edinburgh; University of Edinburgh</t>
  </si>
  <si>
    <t>Hem, IG (corresponding author), Norwegian Univ Sci &amp; Technol, Dept Math Sci, N-7034 Trondheim, Norway.</t>
  </si>
  <si>
    <t>ingeborg.hem@ntnu.no</t>
  </si>
  <si>
    <t>Fuglstad, Geir-Arne/ABC-1903-2021; Gorjanc, Gregor/D-3684-2014</t>
  </si>
  <si>
    <t>Gorjanc, Gregor/0000-0001-8008-2787; Fuglstad, Geir-Arne/0000-0003-4995-2152</t>
  </si>
  <si>
    <t>Research Council of Norway [240873]; BBSRC [BBS/E/D/30002275]; University of Edinburgh's Data-Driven Innovation Chancellor's fellowship; BBSRC [BB/N006178/1, BB/L020467/1, BB/R019940/1, BB/P018653/1, BBS/E/D/30002276] Funding Source: UKRI</t>
  </si>
  <si>
    <t>Research Council of Norway(Research Council of Norway); BBSRC(UK Research &amp; Innovation (UKRI)Biotechnology and Biological Sciences Research Council (BBSRC)); University of Edinburgh's Data-Driven Innovation Chancellor's fellowship; BBSRC(UK Research &amp; Innovation (UKRI)Biotechnology and Biological Sciences Research Council (BBSRC))</t>
  </si>
  <si>
    <t>I.G.H., G.-A.F., and A.R. were supported by project number 240873 from the Research Council of Norway. G.G. was supported by the BBSRC to the Roslin Institute (BBS/E/D/30002275) and the University of Edinburgh's Data-Driven Innovation Chancellor's fellowship.</t>
  </si>
  <si>
    <t>iyab002</t>
  </si>
  <si>
    <t>10.1093/genetics/iyab002</t>
  </si>
  <si>
    <t>RI9IJ</t>
  </si>
  <si>
    <t>WOS:000637218300008</t>
  </si>
  <si>
    <t>de Moraes, FEDC; Siqueira, MJS; da Silva, AC Jr; Rosado, RDS; Cruz, CD</t>
  </si>
  <si>
    <t>de Moraes, Francyse Edite de Oliveira Chagas; Siqueira, Michele Jorge Silva; da Silva Junior, Antonio Carlos; Rosado, Renato Domiciano Silva; Cruz, Cosme Damiao</t>
  </si>
  <si>
    <t>Comparative study between phenotypic and genomic analyses aimed at choosing parents for hybridization purposes</t>
  </si>
  <si>
    <t>ACTA SCIENTIARUM-AGRONOMY</t>
  </si>
  <si>
    <t>genome-wide selection; genetic diversity; diallel analysis</t>
  </si>
  <si>
    <t>DIALLEL ANALYSIS; SOFTWARE; MARKER; GENES</t>
  </si>
  <si>
    <t>The development of superior cultivars involves parents with superiority for the traits of interest and wide genetic variability. Efficient plant breeding and selection strategies that allow for the identification of superior genotypes are essential in breeding programs. This work aims to carry out a comparative study between several strategies for choosing parents, for hybridization purposes, based on phenotypic analysis and molecular information. To obtain the phenotypic and genotypic information of the parents, data simulation was used. For genotyping, 2000 single nucleotide polymorphism markers were used, and from all possible gametes to be formed (22000), 5000 were randomly sampled to form each of the 100 individuals of the population of recombinant inbred strains. To obtain the phenotypic information, five characteristics with different levels of complexity were simulated. The comparative study was carried out using data referring to simulated genotypic values of hybrids and parents. Then, aiming to choose the parents destined for hybridization, different traditional selection strategies based on phenotypic analysis and the genome-wide selection methodology were approached. The genomic information resulted in the choice of the best lines and in obtaining superior hybrids when compared with traditional methodologies. The inclusion of the genomic genetic values of the parents in determining the crosses to be carried out increases the probability of generating phenotypically superior hybrids. Thus, the traditional methods of choosing parents for hybridization purposes are effective, but when incorporating the information from genome-wide selection, the choice of parents provides superior and promising results.</t>
  </si>
  <si>
    <t>[de Moraes, Francyse Edite de Oliveira Chagas; Siqueira, Michele Jorge Silva; da Silva Junior, Antonio Carlos; Cruz, Cosme Damiao] Univ Fed Vicosa, Dept Biol Geral, Av Peter Henry Rolfs S-N,Campus Univ, BR-36570000 Vicosa, MG, Brazil; [Rosado, Renato Domiciano Silva] BASF Pesquisador Digital &amp; Inovacao, Trindade, GO, Brazil</t>
  </si>
  <si>
    <t>de Moraes, FEDC (corresponding author), Univ Fed Vicosa, Dept Biol Geral, Av Peter Henry Rolfs S-N,Campus Univ, BR-36570000 Vicosa, MG, Brazil.</t>
  </si>
  <si>
    <t>francysechagas70428@gmail.com</t>
  </si>
  <si>
    <t>Silva Junior, Antonio Carlos da/0000-0002-4200-6182; Rosado, Renato/0000-0002-8157-9581; Cruz, Cosme Damiao/0000-0003-3513-3391</t>
  </si>
  <si>
    <t>Coordenacao de Aperfeicoamento de Pessoal de Nivel Superior (CAPES); Fundacao de Pesquisa do Estado de Minas Gerais (FAPEMIG); Conselho Nacional de Desenvolvimento Cientifico e Tecnologico (CNPq)</t>
  </si>
  <si>
    <t>Coordenacao de Aperfeicoamento de Pessoal de Nivel Superior (CAPES)(Coordenacao de Aperfeicoamento de Pessoal de Nivel Superior (CAPES)); Fundacao de Pesquisa do Estado de Minas Gerais (FAPEMIG)(Fundacao de Amparo a Pesquisa do Estado de Minas Gerais (FAPEMIG)); Conselho Nacional de Desenvolvimento Cientifico e Tecnologico (CNPq)(Conselho Nacional de Desenvolvimento Cientifico e Tecnologico (CNPQ))</t>
  </si>
  <si>
    <t>The authors thank the Coordenacao de Aperfeicoamento de Pessoal de Nivel Superior (CAPES) , the Fundacao de Pesquisa do Estado de Minas Gerais (FAPEMIG) , and the Conselho Nacional de Desenvolvimento Cientifico e Tecnologico (CNPq) for financial support and scholarships.</t>
  </si>
  <si>
    <t>UNIV ESTADUAL MARINGA, PRO-REITORIA PESQUISA POS-GRADUACAO</t>
  </si>
  <si>
    <t>MARINGA</t>
  </si>
  <si>
    <t>AV. COLOMBO, 5790, DIVISAO DE DIVULGACAO CIENTIFICA, MARINGA, PR 87020-900, BRAZIL</t>
  </si>
  <si>
    <t>1679-9275</t>
  </si>
  <si>
    <t>1807-8621</t>
  </si>
  <si>
    <t>ACTA SCI-AGRON</t>
  </si>
  <si>
    <t>Acta Sci.-Agron.</t>
  </si>
  <si>
    <t>e61550</t>
  </si>
  <si>
    <t>10.4025/actasciagron.v45i1.61550</t>
  </si>
  <si>
    <t>P9TC6</t>
  </si>
  <si>
    <t>WOS:001054022600001</t>
  </si>
  <si>
    <t>Toledo, FHRB; Ramalho, MAP; Pulcinelli, CE; Bruzi, AT</t>
  </si>
  <si>
    <t>Toledo, F. H. R. B.; Ramalho, M. A. P.; Pulcinelli, C. E.; Bruzi, A. T.</t>
  </si>
  <si>
    <t>Experimental strategies in carrying out VCU for tobacco crop I: plot design and size</t>
  </si>
  <si>
    <t>Field trial; Plot size; Monte Carlo simulation; Statistics; Plant breeding</t>
  </si>
  <si>
    <t>PHENOTYPIC VARIANCE</t>
  </si>
  <si>
    <t>We aimed to establish standards for tobacco Valor de Cultivo e Uso (VCU) in Brazil. We obtained information regarding the size and design of plots of two varietal groups of tobacco (Virginia and Burley). Ten inbred lines of each varietal group were evaluated in a randomized complete block design with four replications. The plot contained 42 plants with six rows of seven columns each. For each experiment plant, considering the position of the respective plant in the plot (row and column) as a reference, cured leaf weight (g/plant), total sugar content (%), and total alkaloid content (%) were determined. The maximum curvature of the variations in coefficients was estimated. Trials with the number of plants per plot ranging from 2 to 41 were simulated. The use of a border was not justified because the interactions between inbred lines x position in the plots were never significant, showing that the behavior of the inbred lines coincided with the different positions. The plant performance varied according to the column position in the plot. To lessen the effect of this factor, the use of plots with more than one row is recommended. Experimental precision, evaluated by the CV%, increased with an increase in plot size; nevertheless, the maximum curvature of the variation coefficient method showed no expressive increase in precision if the number of plants was greater than seven. The result in identification of the best inbred line, in terms of the size of each plot, coincided with the maximum curvature method.</t>
  </si>
  <si>
    <t>[Toledo, F. H. R. B.] Univ Sao Paulo, Escola Super Agr Luiz de Queiroz, Dept Genet, Piracicaba, SP, Brazil; [Ramalho, M. A. P.] Univ Fed Lavras, Dept Biol, Lavras, MG, Brazil; [Pulcinelli, C. E.] Co Souza Cruz, Rio Negro, PR, Brazil; [Bruzi, A. T.] Univ Fed Lavras, Dept Agr, Lavras, MG, Brazil</t>
  </si>
  <si>
    <t>Universidade de Sao Paulo; Universidade Federal de Lavras; Universidade Federal de Lavras</t>
  </si>
  <si>
    <t>Toledo, FHRB (corresponding author), Univ Sao Paulo, Escola Super Agr Luiz de Queiroz, Dept Genet, Piracicaba, SP, Brazil.</t>
  </si>
  <si>
    <t>fernandohtoledo@gmail.com</t>
  </si>
  <si>
    <t>10.4238/2013.September.19.8</t>
  </si>
  <si>
    <t>AB3VD</t>
  </si>
  <si>
    <t>WOS:000331717400168</t>
  </si>
  <si>
    <t>Wei, JL; Wang, AG; Li, RD; Qu, H; Jia, ZY</t>
  </si>
  <si>
    <t>Wei, Julong; Wang, Aiguo; Li, Ruidong; Qu, Han; Jia, Zhenyu</t>
  </si>
  <si>
    <t>Metabolome-wide association studies for agronomic traits of rice</t>
  </si>
  <si>
    <t>LINEAR MIXED MODELS; GENOMIC SELECTION; POPULATION-STRUCTURE; TRIGONELLINE; PREDICTION; ACCUMULATION; DISSECTION; VARIANCE; AMIDES; GROWTH</t>
  </si>
  <si>
    <t>Identification of trait-associated metabolites will advance the knowledge and understanding of the biosynthetic and catabolic pathways that are relevant to the complex traits of interest. In the past, the association between metabolites (treated as quantitative traits) and genetic variants (e.g., SNPs) has been extensively studied using metabolomic quantitative trait locus (mQTL) mapping. Nevertheless, the research on the association between metabolites with agronomic traits has been inadequate. In practice, the regular approaches for QTL mapping analysis may be adopted for metabolites-phenotypes association analysis due to the similarity in data structure of these two types of researches. In the study, we compared four regular QTL mapping approaches, i.e., simple linear regression (LR), linear mixed model (LMM), Bayesian analysis with spike-slab priors (Bayes B) and least absolute shrinkage and selection operator (LASSO), by testing their performances on the analysis of metabolome-phenotype associations. Simulation studies showed that LASSO had the higher power and lower false positive rate than the other three methods. We investigated the associations of 839 metobolites with five agronomic traits in a collection of 533 rice varieties. The results implied that a total of 25 metabolites were significantly associated with five agronomic traits. Literature search and bioinformatics analysis indicated that the identified 25 metabolites are significantly involved in some growth and development processes potentially related to agronomic traits. We also explored the predictability of agronomic traits based on the 839 metabolites through cross-validation, which showed that metabolomic prediction was efficient and its application in plant breeding has been justified.</t>
  </si>
  <si>
    <t>[Wei, Julong; Li, Ruidong; Qu, Han; Jia, Zhenyu] Univ Calif Riverside, Dept Bot &amp; Plant Sci, Riverside, CA 92521 USA; [Wei, Julong] Nanjing Agr Univ, Coll Anim Sci &amp; Technol, Nanjing, Jiangsu, Peoples R China; [Wang, Aiguo] China Agr Univ, Coll Anim Sci &amp; Technol, Beijing, Peoples R China</t>
  </si>
  <si>
    <t>University of California System; University of California Riverside; Nanjing Agricultural University; China Agricultural University</t>
  </si>
  <si>
    <t>Jia, ZY (corresponding author), Univ Calif Riverside, Dept Bot &amp; Plant Sci, Riverside, CA 92521 USA.</t>
  </si>
  <si>
    <t>zhenyuj@ucr.edu</t>
  </si>
  <si>
    <t>Li, Ruidong/AAR-2984-2021</t>
  </si>
  <si>
    <t>UCR</t>
  </si>
  <si>
    <t>This work was supported for start-up funding of UCR to Zhenyu Jia.</t>
  </si>
  <si>
    <t>10.1038/s41437-017-0032-3</t>
  </si>
  <si>
    <t>FY5PS</t>
  </si>
  <si>
    <t>WOS:000426887000005</t>
  </si>
  <si>
    <t>Wellmann, R; Bennewitz, J</t>
  </si>
  <si>
    <t>Wellmann, Robin; Bennewitz, Joern</t>
  </si>
  <si>
    <t>Bayesian models with dominance effects for genomic evaluation of quantitative traits</t>
  </si>
  <si>
    <t>GENETICS RESEARCH</t>
  </si>
  <si>
    <t>LINEAR UNBIASED PREDICTION; SEARCH VARIABLE SELECTION; HILBERT-SPACES REGRESSION; BREEDING VALUE PREDICTION; GENETIC VALUES; LINKAGE DISEQUILIBRIUM; ASSISTED PREDICTION; INFORMATION; ACCURACY; VARIANCE</t>
  </si>
  <si>
    <t>Genomic selection refers to the use of dense, genome-wide markers for the prediction of breeding values (BV) and subsequent selection of breeding individuals. It has become a standard tool in livestock and plant breeding for accelerating genetic gain. The core of genomic selection is the prediction of a large number of marker effects from a limited number of observations. Various Bayesian methods that successfully cope with this challenge are known. Until now, the main research emphasis has been on additive genetic effects. Dominance coefficients of quantitative trait loci (QTLs), however, can also be large, even if dominance variance and inbreeding depression are relatively small. Considering dominance might contribute to the accuracy of genomic selection and serve as a guide for choosing mating pairs with good combining abilities. A general hierarchical Bayesian model for genomic selection that can realistically account for dominance is introduced. Several submodels are proposed and compared with respect to their ability to predict genomic BV, dominance deviations and genotypic values (GV) by stochastic simulation. These submodels differ in the way the dependency between additive and dominance effects is modelled. Depending on the marker panel, the inclusion of dominance effects increased the accuracy of GV by about 17% and the accuracy of genomic BV by 2% in the offspring. Furthermore, it slowed down the decrease of the accuracies in subsequent generations. It was possible to obtain accurate estimates of GV, which enables mate selection programmes.</t>
  </si>
  <si>
    <t>[Wellmann, Robin; Bennewitz, Joern] Univ Hohenheim, Dept Anim Husb &amp; Anim Breeding, D-70599 Stuttgart, Germany</t>
  </si>
  <si>
    <t>Wellmann, R (corresponding author), Univ Hohenheim, Dept Anim Husb &amp; Anim Breeding, D-70599 Stuttgart, Germany.</t>
  </si>
  <si>
    <t>r.wellmann@uni-hohenheim.de</t>
  </si>
  <si>
    <t>Deutsche Forschungsgemeinschaft, DFG</t>
  </si>
  <si>
    <t>Deutsche Forschungsgemeinschaft, DFG(German Research Foundation (DFG))</t>
  </si>
  <si>
    <t>R. W. was supported by a grant from the Deutsche Forschungsgemeinschaft, DFG. The authors thank Christine Baes for language correction. The manuscript has benefited from the critical comments of the anonymous reviewers.</t>
  </si>
  <si>
    <t>HINDAWI LTD</t>
  </si>
  <si>
    <t>ADAM HOUSE, 3RD FLR, 1 FITZROY SQ, LONDON, W1T 5HF, ENGLAND</t>
  </si>
  <si>
    <t>0016-6723</t>
  </si>
  <si>
    <t>1469-5073</t>
  </si>
  <si>
    <t>GENET RES</t>
  </si>
  <si>
    <t>Genet. Res.</t>
  </si>
  <si>
    <t>10.1017/S0016672312000018</t>
  </si>
  <si>
    <t>896JF</t>
  </si>
  <si>
    <t>WOS:000300560900003</t>
  </si>
  <si>
    <t>Resende, RT; Hickey, L; Amaral, CH; Peixoto, LL; Marcatti, GE; Xu, YB</t>
  </si>
  <si>
    <t>Resende, Rafael T.; Hickey, Lee; Amaral, Cibele H.; Peixoto, Lucas L.; Marcatti, Gustavo E.; Xu, Yunbi</t>
  </si>
  <si>
    <t>Satellite-enabled enviromics to enhance crop improvement</t>
  </si>
  <si>
    <t>MOLECULAR PLANT</t>
  </si>
  <si>
    <t>envirotyping; precision breeding; genotype-environment interactions; remote sensing; predictive models; enviromic information</t>
  </si>
  <si>
    <t>ENVIRONMENT INTERACTION; CLIMATE SURFACES; FUTURE; PERFORMANCE; PREDICTION; SELECTION; IMPACTS; EXPLAIN</t>
  </si>
  <si>
    <t>Enviromics refers to the characterization of micro- and macroenvironments based on large-scale environmental datasets. By providing genotypic recommendations with predictive extrapolation at a site-specific level, enviromics could inform plant breeding decisions across varying conditions and anticipate productivity in a changing climate. Enviromics-based integration of statistics, envirotyping (i.e., determining environmental factors), and remote sensing could help unravel the complex interplay of genetics, environment, and management. To support this goal, exhaustive envirotyping to generate precise environmental profiles would significantly improve predictions of genotype performance and genetic gain in crops. Already, informatics management platforms aggregate diverse environmental datasets obtained using optical, thermal, radar, and light detection and ranging (LiDAR)sensors that capture detailed information about vegetation, surface structure, and terrain. This wealth of information, coupled with freely available climate data, fuels innovative enviromics research. While enviromics holds immense potential for breeding, a few obstacles remain, such as the need for (1) integrative methodologies to systematically collect field data to scale and expand observations across the landscape with satellite data; (2) state-of-the-art AI models for data integration, simulation, and prediction; (3) cyberinfrastructure for processing big data across scales and providing seamless interfaces to deliver forecasts to stakeholders; and (4) collaboration and data sharing among farmers, breeders, physiologists, geoinformatics experts, and programmers across research institutions. Overcoming these challenges is essential for leveraging the full potential of big data captured by satellites to transform 21st century agriculture and crop improvement through enviromics.</t>
  </si>
  <si>
    <t>[Resende, Rafael T.] Univ Fed Goias UFG, Agron Dept, Plant Breeding Sect, BR-74690900 Goiania, GO, Brazil; [Resende, Rafael T.] TheCROP, Precis Breeding Startup Envir Phen &amp; Genom, Goiania, GO, Brazil; [Resende, Rafael T.] TheCROP, Precis Breeding Startup Envir Phen &amp; Genom, Operating Virtually, Sete Lagoas, MG, Brazil; [Hickey, Lee] Univ Queensland, Queensland Alliance Agr &amp; Food Innovat, Brisbane, Qld, Australia; [Amaral, Cibele H.] Univ Colorado Boulder, Cooperat Inst Res Environm Sci, Earth Lab, Boulder, CO 80303 USA; [Amaral, Cibele H.] Univ Colorado Boulder, Cooperat Inst Res Environm Sci, Environm Data Sci Innovat &amp; Inclus Lab, Boulder, CO 80303 USA; [Marcatti, Gustavo E.] Univ Fed Sao Joao Del Rei, Forest Engn Dept, Campus Sete Lagoas, BR-35701970 Sete Lagoas, MG, Brazil; [Xu, Yunbi] Chinese Acad Agr Sci, Inst Crop Sci, Beijing 100081, Peoples R China; [Xu, Yunbi] Peking Univ, Inst Adv Agr Sci, Weifang 261325, Shandong, Peoples R China; [Xu, Yunbi] BGI Bioverse, Shenzhen 518083, Peoples R China</t>
  </si>
  <si>
    <t>University of Queensland; University of Colorado System; University of Colorado Boulder; University of Colorado System; University of Colorado Boulder; Universidade Federal de Sao Joao del-Rei; Chinese Academy of Agricultural Sciences; Institute of Crop Sciences, CAAS; Peking University</t>
  </si>
  <si>
    <t>Resende, RT (corresponding author), Univ Fed Goias UFG, Agron Dept, Plant Breeding Sect, BR-74690900 Goiania, GO, Brazil.;Resende, RT (corresponding author), TheCROP, Precis Breeding Startup Envir Phen &amp; Genom, Goiania, GO, Brazil.;Resende, RT (corresponding author), TheCROP, Precis Breeding Startup Envir Phen &amp; Genom, Operating Virtually, Sete Lagoas, MG, Brazil.;Xu, YB (corresponding author), Chinese Acad Agr Sci, Inst Crop Sci, Beijing 100081, Peoples R China.;Xu, YB (corresponding author), Peking Univ, Inst Adv Agr Sci, Weifang 261325, Shandong, Peoples R China.;Xu, YB (corresponding author), BGI Bioverse, Shenzhen 518083, Peoples R China.</t>
  </si>
  <si>
    <t>rafael.tassinari@ufg.br; xuyunbi@caas.cn</t>
  </si>
  <si>
    <t>Hickey, Lee/JBJ-7719-2023; Xu, Yunbi/D-7052-2017; Resende, Rafael/AAV-2405-2021; Amaral, Cibele/AFL-2814-2022</t>
  </si>
  <si>
    <t>Xu, Yunbi/0000-0003-3361-4650; Hickey, Lee/0000-0001-6909-7101; Amaral, Cibele/0000-0001-7597-2427</t>
  </si>
  <si>
    <t>Brazilian agencies Coordenacao de Aperfeicoamento de Pessoal de Nimath;vel Superior (CAPES); Conselho Nacional de Desenvolvimento Cientimath;fico e Tecnologico (CNPq); Australian Research Council [FT220100350]; University of Colorado Boulder Grand Challenge, CIRES Earth Lab; Agricultural Science and Technology Innovation Program (ASTIP) of the Chinese Academy of Agricultural Sciences; Shenzhen Science and Technology Program [KQTD202303010928390070]; Hebei Science and Technology Program [215A7612D]; Provincial Technology Innovation Program of Shandong, China; Australian Research Council [FT220100350] Funding Source: Australian Research Council</t>
  </si>
  <si>
    <t>Brazilian agencies Coordenacao de Aperfeicoamento de Pessoal de Nimath;vel Superior (CAPES); Conselho Nacional de Desenvolvimento Cientimath;fico e Tecnologico (CNPq)(Conselho Nacional de Desenvolvimento Cientifico e Tecnologico (CNPQ)Fundacao de Apoio a Pesquisa do Distrito Federal (FAPDF)); Australian Research Council(Australian Research Council); University of Colorado Boulder Grand Challenge, CIRES Earth Lab; Agricultural Science and Technology Innovation Program (ASTIP) of the Chinese Academy of Agricultural Sciences; Shenzhen Science and Technology Program; Hebei Science and Technology Program; Provincial Technology Innovation Program of Shandong, China; Australian Research Council(Australian Research Council)</t>
  </si>
  <si>
    <t>R.T.R., L.L.P., and G.E.M. thank the Brazilian agencies Coordenacao de Aperfeicoamento de Pessoal de N &amp; imath;vel Superior (CAPES) and Conselho Nacional de Desenvolvimento Cient &amp; imath;fico e Tecnologico (CNPq) for the financial support, which was instrumental in the successful execution of this project. L.H. was supported through an ARC Future Fellowship (FT220100350) from the Australian Research Council. C.H.A. was supported by The University of Colorado Boulder Grand Challenge, CIRES Earth Lab. Y.X. was supported by the Agricultural Science and Technology Innovation Program (ASTIP) of the Chinese Academy of Agricultural Sciences, Shenzhen Science and Technology Program (KQTD202303010928390070), Hebei Science and Technology Program (215A7612D), and the Provincial Technology Innovation Program of Shandong, China.</t>
  </si>
  <si>
    <t>CELL PRESS</t>
  </si>
  <si>
    <t>CAMBRIDGE</t>
  </si>
  <si>
    <t>50 HAMPSHIRE ST, FLOOR 5, CAMBRIDGE, MA 02139 USA</t>
  </si>
  <si>
    <t>1674-2052</t>
  </si>
  <si>
    <t>1752-9867</t>
  </si>
  <si>
    <t>MOL PLANT</t>
  </si>
  <si>
    <t>Mol. Plant.</t>
  </si>
  <si>
    <t>JUN 3</t>
  </si>
  <si>
    <t>10.1016/j.molp.2024.04.005</t>
  </si>
  <si>
    <t>Biochemistry &amp; Molecular Biology; Plant Sciences</t>
  </si>
  <si>
    <t>WN6Y1</t>
  </si>
  <si>
    <t>WOS:001255606700001</t>
  </si>
  <si>
    <t>Moreau, L; Lemarié, S; Charcosset, A; Gallais, A</t>
  </si>
  <si>
    <t>Economic efficiency of one cycle of marker-assisted selection</t>
  </si>
  <si>
    <t>QUANTITATIVE TRAIT LOCI; UTILIZING LINKAGE DISEQUILIBRIUM; HYBRID POPULATIONS; SIMULATION; NUMBER; IMPROVEMENT; TRIALS; POWER</t>
  </si>
  <si>
    <t>The efficiency of molecular markers to improve genetic prediction has been proved by many studies. Nevertheless, the additional cost due to marker genotyping is seldom considered in the comparison between marker-assisted selection (MAS) and phenotypic selection. In the context of plant breeding, the relative cost efficiency of MAS in the first cycle of selection is evaluated through an analytical approach taking into account the effect of the experimental design (population size, number of trials, and replications per trial) on quantitative trait loci (QTL) detection. The same global cost is assumed for both methods. In a first step, the optimal allocation of the experimental resources is studied for each method before comparing them at their optimum. For traits sensitive to genotype x environment interactions, unreplicated trials are optimal for both methods but the optimal number of trials is different. It increases with the investment for phenotypic selection while it becomes nearly equal to one for MAS. The loss of efficiency due to non-optimal designs is evaluated. The expected economic return of MAS compared with phenotypic selection decreases with the cost of genotyping. When this cost is high, MAS interest is limited to traits with a low heritability, provided that the investment is high enough to evaluate a large population size, which is the necessary condition to explain with markers a large part of genetic variation. The maximal genotyping cost that is acceptable for MAS to be efficient is given for different values of investment and trait heritability.</t>
  </si>
  <si>
    <t>INRA, UPS, INAPG, Stn Genet Vegetale, F-91190 Gif Sur Yvette, France; Univ Pierre Mendes, INRA, SERD, Dept Econ &amp; Sociol Rurales, F-38040 Grenoble 9, France</t>
  </si>
  <si>
    <t>Universite de Toulouse; Universite Toulouse III - Paul Sabatier; INRAE; INRAE; Communaute Universite Grenoble Alpes; Universite Grenoble Alpes (UGA)</t>
  </si>
  <si>
    <t>Moreau, L (corresponding author), INRA, UPS, INAPG, Stn Genet Vegetale, Ferme Moulon, F-91190 Gif Sur Yvette, France.</t>
  </si>
  <si>
    <t>Moreau, Luc/C-9061-2011; Lemarié, Stéphane/KSM-0414-2024</t>
  </si>
  <si>
    <t>Lemarie, Stephane/0000-0003-1530-3787</t>
  </si>
  <si>
    <t>10.2135/cropsci2000.402329x</t>
  </si>
  <si>
    <t>355VY</t>
  </si>
  <si>
    <t>WOS:000089410300004</t>
  </si>
  <si>
    <t>Morgante, F; Huang, W; Maltecca, C; Mackay, TFC</t>
  </si>
  <si>
    <t>Morgante, Fabio; Huang, Wen; Maltecca, Christian; Mackay, Trudy F. C.</t>
  </si>
  <si>
    <t>Effect of genetic architecture on the prediction accuracy of quantitative traits in samples of unrelated individuals</t>
  </si>
  <si>
    <t>MISSING HERITABILITY; GENOMIC PREDICTION; VARIANTS; COVARIANCE; SIMULATION; EPISTASIS; ANIMALS; EXPLAIN; IMPACT</t>
  </si>
  <si>
    <t>Predicting complex phenotypes from genomic data is a fundamental aim of animal and plant breeding, where we wish to predict genetic merits of selection candidates; and of human genetics, where we wish to predict disease risk. While genomic prediction models work well with populations of related individuals and high linkage disequilibrium (LD) (e.g., livestock), comparable models perform poorly for populations of unrelated individuals and low LD (e.g., humans). We hypothesized that low prediction accuracies in the latter situation may occur when the genetics architecture of the trait departs from the infinitesimal and additive architecture assumed by most prediction models. We used simulated data for 10,000 lines based on sequence data from a population of unrelated, inbred Drosophila melanogaster lines to evaluate this hypothesis. We show that, even in very simplified scenarios meant as a stress test of the commonly used Genomic Best Linear Unbiased Predictor (G-BLUP) method, using all common variants yields low prediction accuracy regardless of the trait genetic architecture. However, prediction accuracy increases when predictions are informed by the genetic architecture inferred from mapping the top variants affecting main effects and interactions in the training data, provided there is sufficient power for mapping. When the true genetic architecture is largely or partially due to epistatic interactions, the additive model may not perform well, while models that account explicitly for interactions generally increase prediction accuracy. Our results indicate that accounting for genetic architecture can improve prediction accuracy for quantitative traits.</t>
  </si>
  <si>
    <t>[Morgante, Fabio; Huang, Wen; Maltecca, Christian; Mackay, Trudy F. C.] North Carolina State Univ, Program Genet, Raleigh, NC 27695 USA; [Morgante, Fabio; Huang, Wen; Mackay, Trudy F. C.] North Carolina State Univ, Dept Biol Sci, Raleigh, NC 27695 USA; [Morgante, Fabio; Huang, Wen; Mackay, Trudy F. C.] North Carolina State Univ, WM Keck Ctr Behav Biol, Raleigh, NC 27695 USA; [Huang, Wen; Mackay, Trudy F. C.] North Carolina State Univ, Initiat Biol Complex, Raleigh, NC 27695 USA; [Maltecca, Christian] North Carolina State Univ, Dept Anim Sci, Raleigh, NC 27695 USA; [Huang, Wen] Michigan State Univ, Dept Anim Sci, E Lansing, MI 48824 USA</t>
  </si>
  <si>
    <t>North Carolina State University; North Carolina State University; North Carolina State University; North Carolina State University; North Carolina State University; Michigan State University</t>
  </si>
  <si>
    <t>Mackay, TFC (corresponding author), North Carolina State Univ, Program Genet, Raleigh, NC 27695 USA.;Mackay, TFC (corresponding author), North Carolina State Univ, Dept Biol Sci, Raleigh, NC 27695 USA.;Mackay, TFC (corresponding author), North Carolina State Univ, WM Keck Ctr Behav Biol, Raleigh, NC 27695 USA.;Mackay, TFC (corresponding author), North Carolina State Univ, Initiat Biol Complex, Raleigh, NC 27695 USA.</t>
  </si>
  <si>
    <t>trudy_mackay@ncsu.edu</t>
  </si>
  <si>
    <t>Huang, Wen/B-5005-2011</t>
  </si>
  <si>
    <t>Huang, Wen/0000-0001-6788-8364; maltecca, christian/0000-0002-9996-4680</t>
  </si>
  <si>
    <t>National Institutes of Health [R01 AA016560, R01 AG043490]; Center for Genomic Selection in Animals and Plants (GenSAP) - Danish Council for Strategic Research</t>
  </si>
  <si>
    <t>National Institutes of Health(United States Department of Health &amp; Human ServicesNational Institutes of Health (NIH) - USA); Center for Genomic Selection in Animals and Plants (GenSAP) - Danish Council for Strategic Research</t>
  </si>
  <si>
    <t>This work was supported by National Institutes of Health Grants R01 AA016560 and R01 AG043490 to TFCM and the Center for Genomic Selection in Animals and Plants (GenSAP) funded by The Danish Council for Strategic Research to FM and TFCM. FM would like to thank Dr. Peter Sorensen for help with some code, and Dr. Jeremy Howard for writing the C++ code to compute the genomic relationship matrix.</t>
  </si>
  <si>
    <t>10.1038/s41437-017-0043-0</t>
  </si>
  <si>
    <t>GF3GI</t>
  </si>
  <si>
    <t>WOS:000431833200002</t>
  </si>
  <si>
    <t>dos Santos, DP; Sermarini, RA; dos Santos, A; Demétrio, CGB</t>
  </si>
  <si>
    <t>dos Santos, Denize Palmito; Sermarini, Renata Alcarde; dos Santos, Alessandra; Demetrio, Clarice Garcia Borges</t>
  </si>
  <si>
    <t>Optimal Designs in Plant Breeding Experiments: A Simulation Study Comparing Grid-Plot and Partially Replicated (p-Rep) Design</t>
  </si>
  <si>
    <t>SUGAR TECH</t>
  </si>
  <si>
    <t>Different numbers of checks; Different numbers of test lines; Genetic gain; Individual and joint analysis; Selection quality</t>
  </si>
  <si>
    <t>PREDICTION; TRIALS</t>
  </si>
  <si>
    <t>In studies on plant genetic improvement, it is common to use multi-environmental tests that aim to evaluate and select different lines under different environmental conditions. Another objective is to measure the main quantitative characteristics, such as grain yield, in order to select the best lines under test (test lines). To achieve these and other goals, good experimental design and adequate statistical analysis are essential. In this perspective, the present work evaluated the use of simulated data from spatially optimized designs in multi-environmental tests to compare different partially replicated (p-rep) designs with grid-plot designs considering gain and quality of the genetic material selection. For p-rep, the percentages of repetitions of test lines and the number of standard varieties (checks) were varied. Joint and individual analyses were conducted using linear mixed models with spatial variation in plot errors. Results indicated that p-rep designs were superior to grid-plot designs on relative realized genetic gain, accuracy, and selection probability. When comparing different p-rep designs, it was observed that those without the presence of checks presented the best results in relation to genetic gain. Furthermore, it was observed that for each set of parameters, in which only genetic correlation varied, the greater the genetic correlation, the higher the gain and selection quality. In all locations considered, greater precision was observed in the estimates of variance components when obtained through joint analysis, as expected.</t>
  </si>
  <si>
    <t>[dos Santos, Denize Palmito; Sermarini, Renata Alcarde; dos Santos, Alessandra; Demetrio, Clarice Garcia Borges] Univ Sao Paulo, Sao Paulo, Brazil</t>
  </si>
  <si>
    <t>dos Santos, DP (corresponding author), Univ Sao Paulo, Sao Paulo, Brazil.</t>
  </si>
  <si>
    <t>denizepalmito@gmail.com</t>
  </si>
  <si>
    <t>Santos, Danilo/C-3669-2019; Sermarini, Renata Alcarde/D-5570-2015</t>
  </si>
  <si>
    <t>Sermarini, Renata Alcarde/0000-0001-6425-9626; Palmito dos Santos, Denize/0000-0001-7326-1752</t>
  </si>
  <si>
    <t>Coordenacao de Aperfeicoamento de Pessoal de Nivel Superior (CAPES)</t>
  </si>
  <si>
    <t>Coordenacao de Aperfeicoamento de Pessoal de Nivel Superior (CAPES)(Coordenacao de Aperfeicoamento de Pessoal de Nivel Superior (CAPES))</t>
  </si>
  <si>
    <t>This work was supported by Coordenacao de Aperfeicoamento de Pessoal de Nivel Superior (CAPES).</t>
  </si>
  <si>
    <t>SPRINGER INDIA</t>
  </si>
  <si>
    <t>NEW DELHI</t>
  </si>
  <si>
    <t>7TH FLOOR, VIJAYA BUILDING, 17, BARAKHAMBA ROAD, NEW DELHI, 110 001, INDIA</t>
  </si>
  <si>
    <t>0972-1525</t>
  </si>
  <si>
    <t>0974-0740</t>
  </si>
  <si>
    <t>Sugar Tech.</t>
  </si>
  <si>
    <t>10.1007/s12355-024-01375-3</t>
  </si>
  <si>
    <t>MAR 2024</t>
  </si>
  <si>
    <t>MR6S9</t>
  </si>
  <si>
    <t>WOS:001175299800001</t>
  </si>
  <si>
    <t>Pangga, IB; Hanan, J; Chakraborty, S</t>
  </si>
  <si>
    <t>Pangga, I. B.; Hanan, J.; Chakraborty, S.</t>
  </si>
  <si>
    <t>Pathogen dynamics in a crop canopy and their evolution under changing climate</t>
  </si>
  <si>
    <t>Colletotrichum gloeosporioides; elevated CO2; modelling; pathogen evolution; Stylosanthes scabra; virtual plants</t>
  </si>
  <si>
    <t>PLANT-DISEASE; ELEVATED CO2; STYLOSANTHES-SCABRA; CARBON-DIOXIDE; ATMOSPHERIC CO2; GLOBAL CHANGE; SIMULATION; RESISTANCE; MODEL; WHEAT</t>
  </si>
  <si>
    <t>Canopy-level interactions have been largely ignored in epidemiological models and their applications in defining disease risks under climate change, although these interactions are important for disease management. This paper uses anthracnose of Stylosanthes scabra as a case study and reviews research on dynamics of the pathogen (Colletotrichum gloeosporioides) at the canopy level and pathogen evolution under changing climate. It argues that linking of pathogen dynamics, crop growth and climate models is essential in predicting disease risks under climate change. A plant functional-structural model was used to couple S. scabra growth and architecture with disease under ambient and elevated CO2. A level of induced resistance in plants with enlarged canopy determined anthracnose severity at elevated CO2. Moisture-related microclimatic variables determined infection at ambient but not at elevated CO2. At high CO2 increased disease level from raised pathogen fecundity in enlarged canopy accelerated pathogen evolution after 25 sequential infection cycles. Modelling of pathogen dynamics under climate change currently suffers from a paucity of quantitative data, mismatch of scales in coupling climate and disease models, and model uncertainties. Further experimental research on interactions of biotic and abiotic factors on plant diseases under climate change and validation of models are essential prior to their use in climate-change prediction. Understanding and anticipating trends in host-pathogen evolution under climate change will improve the durability of resistance and lay the foundation for increased crop adaptation through pre-emptive plant breeding.</t>
  </si>
  <si>
    <t>[Chakraborty, S.] CSIRO Plant Ind, Queensland Biosci Precinct, St Lucia, Qld 4067, Australia; [Pangga, I. B.] Univ Philippines Los Banos, Coll Agr, College Los Banos 4031, Laguna, Philippines; [Hanan, J.] Univ Queensland, Ctr Biol Informat Technol, St Lucia, Qld 4072, Australia</t>
  </si>
  <si>
    <t>Commonwealth Scientific &amp; Industrial Research Organisation (CSIRO); University of the Philippines System; University of the Philippines Los Banos; University of Queensland</t>
  </si>
  <si>
    <t>Chakraborty, S (corresponding author), CSIRO Plant Ind, Queensland Biosci Precinct, 306 Carmody Rd, St Lucia, Qld 4067, Australia.</t>
  </si>
  <si>
    <t>sukumar.chakraborty@csiro.au</t>
  </si>
  <si>
    <t>Chakraborty, Sukumar/C-5513-2009; Hanan, Jim/A-3692-2010</t>
  </si>
  <si>
    <t>Hanan, Jim/0000-0002-0358-8693</t>
  </si>
  <si>
    <t>10.1111/j.1365-3059.2010.02408.x</t>
  </si>
  <si>
    <t>705FQ</t>
  </si>
  <si>
    <t>WOS:000286114700007</t>
  </si>
  <si>
    <t>Chiang, KS; Liu, HI; Bock, CH</t>
  </si>
  <si>
    <t>Chiang, K. S.; Liu, H. I.; Bock, C. H.</t>
  </si>
  <si>
    <t>A discussion on disease severity index values. Part I: warning on inherent errors and suggestions to maximise accuracy</t>
  </si>
  <si>
    <t>ANNALS OF APPLIED BIOLOGY</t>
  </si>
  <si>
    <t>Calculation methods of the interval; category scales; disease severity index; interval scale; ordinal scale</t>
  </si>
  <si>
    <t>HORSFALL-BARRATT SCALE; WHITE MOLD; RESISTANCE; PATHOGENICITY; RELIABILITY; MANAGEMENT; CULTIVARS; SYMPTOMS; SPOT; ROT</t>
  </si>
  <si>
    <t>A special type of ordinal scale comprising a number of intervals of known numeric ranges can be used when estimating severity of a plant disease. The interval ranges are most often based on the percent area with symptoms [e.g. the Horsfall-Barratt (H-B) scale]. Studies in plant pathology and plant breeding often use this type of ordinal scale. The disease severity is estimated by a rater as a value on the scale and has been used to determine a disease severity index (DSI) on a percentage basis, where DSI (%) = [sum (class frequencyxscore of rating class)]/[(total number of plants) x (maximal disease index)] x 100. However, very few studies have investigated the effects of different scales on accuracy of the DSI. Therefore, the objectives of this study were to investigate the process of calculating a DSI on a percentage basis from ordinal scale data, and to use simulation approaches to explore the effect of using different methods for calculation of the interval range and the nature of the ordinal scales used on the DSI estimates (%). We found that the DSI is particularly prone to overestimation when using the above formula if the midpoint values of the rating class are not considered. Moreover, the results of the simulation studies show that, if rater estimates are unbiased, compared with other methods tested in this study, the most accurate method for estimation of a DSI is to use the midpoint of the severity range for each class with an amended 10% ordinal scale (an ordinal scale based on a 10% linear scale emphasising severities &lt;= 50% disease, with additional grades at low severities). As for biased conditions, the accuracy for calculating DSI estimates (%) will depend mainly on the degree and direction of the rater bias relative to the actual mean value.</t>
  </si>
  <si>
    <t>[Chiang, K. S.; Liu, H. I.] Natl Chung Hsing Univ, Dept Agron, Div Biometr, Taichung, Taiwan; [Bock, C. H.] USDA ARS SEFTNRL, USDA, 21 Dunbar Rd, Byron, GA 31008 USA</t>
  </si>
  <si>
    <t>National Chung Hsing University; United States Department of Agriculture (USDA)</t>
  </si>
  <si>
    <t>Bock, CH (corresponding author), USDA ARS SEFTNRL, USDA, 21 Dunbar Rd, Byron, GA 31008 USA.</t>
  </si>
  <si>
    <t>clive.bock@ars.usda.gov</t>
  </si>
  <si>
    <t>Chiang, Kuo-Szu/0000-0002-7545-1469</t>
  </si>
  <si>
    <t>Ministry of Science and Technology of Taiwan [MOST 105-2313-B-005-013]; USDA-ARS [6042-21220-012-00]</t>
  </si>
  <si>
    <t>Ministry of Science and Technology of Taiwan(Ministry of Science and Technology, Taiwan); USDA-ARS(United States Department of Agriculture (USDA)USDA Agricultural Research Service)</t>
  </si>
  <si>
    <t>We are grateful to the two reviewers for helpful comments which improved the article. The authors acknowledge Dr Moussa El Jarroudi from Universite de Liege, Belgium for access to his data on SLB on winter wheat. K. S. C. gratefully acknowledges financial support from the Ministry of Science and Technology of Taiwan (MOST 105-2313-B-005-013). Also, he would like to dedicate this work to his beloved mother, Gui-Ying Huang Chiang, who passed away on 13 May 2016. C. H. B. is supported by USDA-ARS through Project 6042-21220-012-00. This article reports the results of research only. Mention of a trademark or proprietary product is solely for the purpose of providing specific information and does not constitute a guarantee or warranty of the product by the US Department of Agriculture and does not imply its approval to the exclusion of other products that may also be suitable.</t>
  </si>
  <si>
    <t>0003-4746</t>
  </si>
  <si>
    <t>1744-7348</t>
  </si>
  <si>
    <t>ANN APPL BIOL</t>
  </si>
  <si>
    <t>Ann. Appl. Biol.</t>
  </si>
  <si>
    <t>10.1111/aab.12362</t>
  </si>
  <si>
    <t>FE0JW</t>
  </si>
  <si>
    <t>WOS:000407907600002</t>
  </si>
  <si>
    <t>Stöckle, CO; Kemanian, AR</t>
  </si>
  <si>
    <t>Stockle, Claudio O.; Kemanian, Armen R.</t>
  </si>
  <si>
    <t>Can Crop Models Identify Critical Gaps in Genetics, Environment, and Management Interactions?</t>
  </si>
  <si>
    <t>improvement; crop models; uncertainty; GxExM; simulation performance</t>
  </si>
  <si>
    <t>USE EFFICIENCY; SPRING WHEAT; WATER-UPTAKE; CERES-WHEAT; TRANSPIRATION EFFICIENCY; YIELD RESPONSE; GRAIN NUMBER; HEAT-STRESS; SIMULATION; SYSTEMS</t>
  </si>
  <si>
    <t>Increasing food demand under climate change constraints may challenge and strain agricultural systems. The use of crop models to assess genotypes performance across diverse target environments and management practices, i.e., the genetic x environment x management interaction (GEMI), can help understand suitability of genotype and agronomic practices, and possibly accelerate turnaround in plant breeding programs. However, the readiness of models to support these tasks can be debated. In this article, we point out modeling and data limitations and argue the need for evaluation and improvement of relevant process algorithms as well as model convergence. Under conditions suitable for plant growth, without meteorological extremes or soil limitation to root exploration, models can simulate resource capture, growth, and yield with relative ease. As stresses accumulate, the plant species- and genotype-specific attributes and their interactions with the soil and atmospheric environment generate a large range of responses, including conditions where resources become so limiting as to make yields very low. The space in between high and low yields is where most rainfed production occurs, and where the current model and user skill at representing GEMI varies. We also review studies comparing the performance of a large number of crop models and the lessons learned. The overall message is that improvement of models appears as a necessary condition for progress, and perhaps relevancy. Model ensembles help mitigate data input, model, and user-driven uncertainty for some but not all applications, sometimes at a very high cost. Successful model-based assessment of GEMI not only requires better crop models and knowledgeable users, but also a realistic representation of the environmental conditions of the landscape where crops are grown, which is not trivial given the 3D nature of water and nutrient transport. Models remain the best quantitative repository of our knowledge on crop functioning; they contain a narrative of plant, soil, and atmospheric functioning in computer language and train the mind to couple processes. But in our quest to tame GEMI, will they lead the way or just ride along history?</t>
  </si>
  <si>
    <t>[Stockle, Claudio O.] Washington State Univ, Dept Biol Syst Engn, Pullman, WA 99164 USA; [Kemanian, Armen R.] Penn State Univ, Dept Plant Sci, University Pk, PA 16802 USA</t>
  </si>
  <si>
    <t>Washington State University; Pennsylvania Commonwealth System of Higher Education (PCSHE); Pennsylvania State University; Penn State Behrend; Pennsylvania State University - University Park</t>
  </si>
  <si>
    <t>JUN 12</t>
  </si>
  <si>
    <t>10.3389/fpls.2020.00737</t>
  </si>
  <si>
    <t>MD2VU</t>
  </si>
  <si>
    <t>WOS:000543831900001</t>
  </si>
  <si>
    <t>Kamau, S; Belanche, A; Davies, T; Stevens, PR; Humphreys, M; Kingston-Smith, AH</t>
  </si>
  <si>
    <t>Kamau, Stephen; Belanche, Alejandro; Davies, Teri; Rees Stevens, Pauline; Humphreys, Mike; Kingston-Smith, Alison H.</t>
  </si>
  <si>
    <t>A route to decreasing N pollution from livestock: Use of Festulolium hybrids improves efficiency of N flows in rumen simulation fermenters</t>
  </si>
  <si>
    <t>FOOD AND ENERGY SECURITY</t>
  </si>
  <si>
    <t>Festuca; Festulolium; Lolium; nitrogen-use efficiency; protein; proteolysis; rumen</t>
  </si>
  <si>
    <t>MICROBIAL PROTEIN-SYNTHESIS; VOLATILE FATTY-ACIDS; PLANT-MEDIATED PROTEOLYSIS; WATER-SOLUBLE CARBOHYDRATE; MILK-PRODUCTION; LOLIUM-PERENNE; RUMINAL FERMENTATION; PRODUCTION RESPONSES; NITROGEN; GRASS</t>
  </si>
  <si>
    <t>Ruminant agriculture suffers from inefficient capture of forage protein and consequential release of N pollutants to land. This is due to proteolysis in the rumen catalyzed by both microbial but initially endogenous plant proteases. Plant breeding-based solutions are sought to minimize these negative environmental impacts. The aim of this study was to perform an integrated study of rumen N metabolism using semi-continuous rumen simulation fermenters (Rusitec) to explore the extent to which swards containing Festulolium populations (interspecific hybrids between Lolium and Festuca grass species) with decreased rates of endogenous protein degradation conferred advantageous protein utilization in comparison with a National Listed perennial ryegrass. An in vitro experiment was conducted using three Festulolium hybrids (Lolium perenne x Festuca arundinacea var. glaucescens, LpFg; Lolium perenne x Festuca mairei, LpFm; and Lolium multiflorum x Festuca arundinacea var. glaucescens, LmFg) and a Lolium perenne, Lp control. LpFm and LmFg demonstrated significantly lower plant-mediated proteolysis than the control. Fresh forage was incubated in Rusitec with rumen fluid from four donor cows. Feed disappearance and production of gas, methane, and volatile fatty acids were similar across cultivars. Whereas no differences in microbial protein synthesis were noted across treatments during early fermentation (0-6 hr after feeding), an increased microbial N flow in LpFm (+30%) and LmFg hybrids (+41%) was observed during late fermentation (6-24 hr after feeding), with higher overall microbial N flows (+13.5% and + 20.2%, respectively) compared with the control (Lp). We propose an underpinning mechanism involving the partitioning of amino acid catabolism toward branched-chain amino acids and microbial protein synthesis in grasses with slow plant-mediated proteolysis instead of accumulation of rumen ammonia in grasses with fast plant-mediated proteolysis. These observations indicate the potential of Festulolium hybrids with a slow plant-mediated proteolysis trait to improve the efficiency of capture of forage protein and decrease the release of N pollutants onto the land.</t>
  </si>
  <si>
    <t>[Kamau, Stephen; Belanche, Alejandro; Davies, Teri; Rees Stevens, Pauline; Humphreys, Mike; Kingston-Smith, Alison H.] Aberystwyth Univ, Inst Biol Environm &amp; Rural Sci, Aberystwyth SY23 3FG, Dyfed, Wales; [Belanche, Alejandro] CSIC, Estn Expt Zaidin, Granada, Spain</t>
  </si>
  <si>
    <t>Aberystwyth University; UK Research &amp; Innovation (UKRI); Biotechnology and Biological Sciences Research Council (BBSRC); Institute of Biological, Environmental, Rural &amp; Sciences (IBERS); Consejo Superior de Investigaciones Cientificas (CSIC); CSIC - Estacion Experimental del Zaidin (EEZ)</t>
  </si>
  <si>
    <t>Kingston-Smith, AH (corresponding author), Aberystwyth Univ, Inst Biol Environm &amp; Rural Sci, Aberystwyth SY23 3FG, Dyfed, Wales.</t>
  </si>
  <si>
    <t>ahk@aber.ac.uk</t>
  </si>
  <si>
    <t>Belanche, Alejandro/AAG-3338-2019</t>
  </si>
  <si>
    <t>Kamau Wanjiru, Stephen/0000-0003-1406-9992; Kingston-Smith, Alison/0000-0002-8158-8752; Belanche, Alejandro/0000-0001-5880-6021</t>
  </si>
  <si>
    <t>Biotechnology and Biological Sciences Research Council [BBS/E/W/0012843D, BBS/E/W/10964]; Aberystwyth University; BBSRC [BBS/E/W/10964A01C, BBS/E/W/10964A01B, BBS/E/W/0012843D] Funding Source: UKRI</t>
  </si>
  <si>
    <t>Biotechnology and Biological Sciences Research Council(UK Research &amp; Innovation (UKRI)Biotechnology and Biological Sciences Research Council (BBSRC)); Aberystwyth University; BBSRC(UK Research &amp; Innovation (UKRI)Biotechnology and Biological Sciences Research Council (BBSRC))</t>
  </si>
  <si>
    <t>Biotechnology and Biological Sciences Research Council, Grant/Award Number: BBS/E/W/0012843D and BBS/E/W/10964; Aberystwyth University</t>
  </si>
  <si>
    <t>2048-3694</t>
  </si>
  <si>
    <t>FOOD ENERGY SECUR</t>
  </si>
  <si>
    <t>Food Energy Secur.</t>
  </si>
  <si>
    <t>e209</t>
  </si>
  <si>
    <t>10.1002/fes3.209</t>
  </si>
  <si>
    <t>MAY 2020</t>
  </si>
  <si>
    <t>Agriculture; Plant Sciences; Food Science &amp; Technology</t>
  </si>
  <si>
    <t>NI8GN</t>
  </si>
  <si>
    <t>WOS:000534616600001</t>
  </si>
  <si>
    <t>Fodor, A; Segura, V; Denis, M; Neuenschwander, S; Fournier-Level, A; Chatelet, P; Homa, FAA; Lacombe, T; This, P; Le Cunff, L</t>
  </si>
  <si>
    <t>Fodor, Agota; Segura, Vincent; Denis, Marie; Neuenschwander, Samuel; Fournier-Level, Alexandre; Chatelet, Philippe; Homa, Felix Abdel Aziz; Lacombe, Thierry; This, Patrice; Le Cunff, Loic</t>
  </si>
  <si>
    <t>Genome-Wide Prediction Methods in Highly Diverse and Heterozygous Species: Proof-of-Concept through Simulation in Grapevine</t>
  </si>
  <si>
    <t>POPULATION-STRUCTURE; GENETIC ARCHITECTURE; QUANTITATIVE TRAITS; SELECTION GAIN; UNIT TIME; ASSOCIATION; ACCURACY; WINE; CONSERVATION; INFORMATION</t>
  </si>
  <si>
    <t>Nowadays, genome-wide association studies (GWAS) and genomic selection (GS) methods which use genome-wide marker data for phenotype prediction are of much potential interest in plant breeding. However, to our knowledge, no studies have been performed yet on the predictive ability of these methods for structured traits when using training populations with high levels of genetic diversity. Such an example of a highly heterozygous, perennial species is grapevine. The present study compares the accuracy of models based on GWAS or GS alone, or in combination, for predicting simple or complex traits, linked or not with population structure. In order to explore the relevance of these methods in this context, we performed simulations using approx 90,000 SNPs on a population of 3,000 individuals structured into three groups and corresponding to published diversity grapevine data. To estimate the parameters of the prediction models, we defined four training populations of 1,000 individuals, corresponding to these three groups and a core collection. Finally, to estimate the accuracy of the models, we also simulated four breeding populations of 200 individuals. Although prediction accuracy was low when breeding populations were too distant from the training populations, high accuracy levels were obtained using the sole core-collection as training population. The highest prediction accuracy was obtained (up to 0.9) using the combined GWAS-GS model. We thus recommend using the combined prediction model and a core-collection as training population for grapevine breeding or for other important economic crops with the same characteristics.</t>
  </si>
  <si>
    <t>[Fodor, Agota; This, Patrice; Le Cunff, Loic] IFV INRA Montpellier Supagro, UMT Genovigne, Montpellier, France; [Fodor, Agota; Chatelet, Philippe; Lacombe, Thierry; This, Patrice; Le Cunff, Loic] INRA, UMR AGAP, F-34060 Montpellier, France; [Segura, Vincent] INRA, UR AGPF 588, Orleans, France; [Denis, Marie; Homa, Felix Abdel Aziz] CIRAD, UMR AGAP, Montpellier, France; [Neuenschwander, Samuel] Univ Lausanne, Dept Ecol &amp; Evolut, Lausanne, Switzerland; [Neuenschwander, Samuel] Univ Lausanne, Swiss Inst Bioinformat, Vital IT, Lausanne, Switzerland; [Fournier-Level, Alexandre] Univ Melbourne, Dept Genet, Parkville, Vic 3052, Australia</t>
  </si>
  <si>
    <t>Institut Agro; Montpellier SupAgro; INRAE; Universite de Montpellier; INRAE; INRAE; CIRAD; Universite de Montpellier; University of Lausanne; Swiss Institute of Bioinformatics; University of Lausanne; University of Melbourne</t>
  </si>
  <si>
    <t>Le Cunff, L (corresponding author), IFV INRA Montpellier Supagro, UMT Genovigne, Montpellier, France.</t>
  </si>
  <si>
    <t>loic.lecunff@supagro.inra.fr</t>
  </si>
  <si>
    <t>Segura, Vincent/B-4656-2013</t>
  </si>
  <si>
    <t>Neuenschwander, Samuel/0000-0002-4080-5546; Segura, Vincent/0000-0003-1860-2256; FOURNIER-LEVEL, ALEXANDRE/0000-0002-6047-7164</t>
  </si>
  <si>
    <t>Swiss National Science Foundation [31003A_138180]; French Ministry of Research and Higher Education; French Ministry of Food, Agriculture and Fisheries (project CAS DAR) [10AAPIT, 1009]; French Grapevine and Wine Institute (IFV); Swiss National Science Foundation (SNF) [31003A_138180] Funding Source: Swiss National Science Foundation (SNF)</t>
  </si>
  <si>
    <t>Swiss National Science Foundation(Swiss National Science Foundation (SNSF)); French Ministry of Research and Higher Education; French Ministry of Food, Agriculture and Fisheries (project CAS DAR); French Grapevine and Wine Institute (IFV); Swiss National Science Foundation (SNF)(Swiss National Science Foundation (SNSF))</t>
  </si>
  <si>
    <t>S.N. was supported by Swiss National Science Foundation grant 31003A_138180 to Dr. J. Goudet. This work was funded in part by the French Ministry of Research and Higher Education and the French Ministry of Food, Agriculture and Fisheries (project CAS DAR no 10AAPIT no 1009) and a PhD grant from the French Grapevine and Wine Institute (IFV). The funders had no role in study design, data collection and analysis, decision to publish, or preparation of the manuscript.</t>
  </si>
  <si>
    <t>e110436</t>
  </si>
  <si>
    <t>10.1371/journal.pone.0110436</t>
  </si>
  <si>
    <t>AU4DB</t>
  </si>
  <si>
    <t>WOS:000345558100021</t>
  </si>
  <si>
    <t>Robbins, MD; Staub, JE</t>
  </si>
  <si>
    <t>Robbins, Matthew Darwin; Staub, Jack E.</t>
  </si>
  <si>
    <t>Comparative analysis of marker-assisted and phenotypic selection for yield components in cucumber</t>
  </si>
  <si>
    <t>FRUIT YIELD; HORTICULTURAL TRAITS; QUANTITATIVE TRAITS; RECURRENT SELECTION; COMBINING ABILITY; QTL ANALYSIS; SATIVUS L.; RESISTANCE; SIMULATION; LINES</t>
  </si>
  <si>
    <t>Theoretical studies suggest that marker-assisted selection (MAS) has case-specific advantages over phenotypic selection (PHE) for selection of quantitative traits. However, few studies have been conducted that empirically compare these selection methods in the context of a plant breeding program. For direct comparison of the effectiveness of MAS and PHE, four cucumber (Cucumis sativus L.; 2n = 2x = 14) inbred lines were intermated and then maternal bulks were used to create four base populations for recurrent mass selection. Each of these populations then underwent three cycles of PHE (open-field evaluations), MAS (genotyping at 18 marker loci), and random mating without selection. Both MAS and PHE were practiced for yield indirectly by selecting for four yield-component traits that are quantitatively inherited with 2-6 quantitative trait loci per trait. These traits were multiple lateral branching, gynoecious sex expression (gynoecy), earliness, and fruit length to diameter ratio. Both MAS and PHE were useful for multi-trait improvement, but their effectiveness depended upon the traits and populations under selection. Both MAS and PHE provided improvements in all traits under selection in at least one population, except for earliness, which did not respond to MAS. The populations with maternal parents that were inferior for a trait responded favorably to both MAS and PHE, while those with maternal parents of superior trait values either did not change or decreased during selection. Generally, PHE was most effective for gynoecy, earliness, and fruit length to diameter ratio, while MAS was most effective for multiple lateral branching and provided the only increase in yield (fruit per plant).</t>
  </si>
  <si>
    <t>[Robbins, Matthew Darwin; Staub, Jack E.] Univ Wisconsin, Vegetable Crops Res Unit, Dept Hort, USDA ARS, Madison, WI 53706 USA</t>
  </si>
  <si>
    <t>United States Department of Agriculture (USDA); University of Wisconsin System; University of Wisconsin Madison</t>
  </si>
  <si>
    <t>Robbins, MD (corresponding author), Ohio State Univ, OARDC, 1680 Madison Ave, Wooster, OH 44691 USA.</t>
  </si>
  <si>
    <t>robbins.184@osu.edu; Jack.Staub@ars.usda.gov</t>
  </si>
  <si>
    <t>Robbins, Matthew/AAJ-3820-2020</t>
  </si>
  <si>
    <t>Robbins, Matthew/0000-0002-5467-4452</t>
  </si>
  <si>
    <t>10.1007/s00122-009-1072-8</t>
  </si>
  <si>
    <t>480PB</t>
  </si>
  <si>
    <t>WOS:000268747200006</t>
  </si>
  <si>
    <t>Rutkoski, JE</t>
  </si>
  <si>
    <t>Rutkoski, J. E.</t>
  </si>
  <si>
    <t>Estimation of Realized Rates of Genetic Gain and Indicators for Breeding Program Assessment</t>
  </si>
  <si>
    <t>ARTIFICIAL SELECTION; GENOMIC SELECTION; WINTER-WHEAT; YIELD; SIMULATION; CULTIVARS; TRAITS</t>
  </si>
  <si>
    <t>Routine estimation of the rate of genetic gain (Delta G(t)) realized by a breeding program has been proposed as a means to monitor its effectiveness. Several methods of realized Delta G(t) estimation have been used in other studies, but none have been objectively evaluated in a plant breeding context. Stochastic simulations of 80 rice (Oryza sativa L.) breeding programs over 28 yr were done to generate data used to evaluate five methods of realized Delta G(t) estimation in terms of error, precision, efficiency, and correlation between true and predicted annual mean breeding values. Two indicators of Delta G(t), the expected Delta G(t), and the average number of equivalent complete generations (EqCg), were described and evaluated. At best, estimates of realized Delta G(t) were over or underestimated by 15 and 27% when considering all 28 yr and the past 15 yr of breeding, respectively. The best methods were the estimated breeding value, control population, and era trial methods. Among these, correlations between true and estimated Delta G(t) were at best 0.59, indicating that these methods cannot very accurately rank breeding programs in terms of realized Delta G(t). The expected Delta G(t) and the average EqCg were shown to be useful indicators for determining if a nonzero genetic gain is expected. Determining which of the three best realized Delta G(t) estimation methods evaluated, if any, would be appropriate for any given breeding program should be done with careful consideration of the objectives, resources, seed stocks, and structure of the data available.</t>
  </si>
  <si>
    <t>[Rutkoski, J. E.] Int Rice Res Inst, DAPO Box 7777, Manila 1301, Philippines</t>
  </si>
  <si>
    <t>CGIAR; International Rice Research Institute (IRRI)</t>
  </si>
  <si>
    <t>Rutkoski, JE (corresponding author), Int Rice Res Inst, DAPO Box 7777, Manila 1301, Philippines.</t>
  </si>
  <si>
    <t>j.rutkoski@irri.org</t>
  </si>
  <si>
    <t>Rutkoski, Jessica/Y-9255-2019</t>
  </si>
  <si>
    <t>Rutkoski, Jessica/0000-0001-8435-4049</t>
  </si>
  <si>
    <t>Excellence in Breeding Platform (EiB) of the CGIAR; CGIAR Research Program on Rice (Rice CRP); Transforming Rice Breeding (TRB) project - Bill and Melinda Gates Foundation</t>
  </si>
  <si>
    <t>Excellence in Breeding Platform (EiB) of the CGIAR(CGIAR); CGIAR Research Program on Rice (Rice CRP)(CGIAR); Transforming Rice Breeding (TRB) project - Bill and Melinda Gates Foundation(CGIAR)</t>
  </si>
  <si>
    <t>I would like to acknowledge Dr. Jean-Luc Jannink for giving constructive feedback on this research. I would also like to acknowledge Dr. George Kotch and Dr. Gary Atlin for our discussions about genetic gain estimation, which exposed the need for more research on this topic. This work was funded by the Excellence in Breeding Platform (EiB) of the CGIAR, the CGIAR Research Program on Rice (Rice CRP), and the Transforming Rice Breeding (TRB) project funded by the Bill and Melinda Gates Foundation.</t>
  </si>
  <si>
    <t>10.2135/cropsci2018.09.0537</t>
  </si>
  <si>
    <t>HY5YX</t>
  </si>
  <si>
    <t>WOS:000468206500016</t>
  </si>
  <si>
    <t>Pulcinelli, CE; Bruzi, AT; Toledo, FHRB; Ramalho, MAP</t>
  </si>
  <si>
    <t>Pulcinelli, C. E.; Bruzi, A. T.; Toledo, F. H. R. B.; Ramalho, M. A. P.</t>
  </si>
  <si>
    <t>Experimental strategies in performing value for cultivation and use experiments for the tobacco crop II: dimension of the experimental network</t>
  </si>
  <si>
    <t>Experimental design; Genotype by environment interaction; Monte Carlo simulation; Plant breeding</t>
  </si>
  <si>
    <t>In this study, we aimed to establish strategies for value for cultivation and use (VCU) experiments for the tobacco crop in the southern region of Brazil with respect to the number of environments used to assess tobacco lines. Trials of the Virginia (18 sites) and Burley (17 sites) varietal groups were conducted in the three states of the southern region of Brazil in the 2009-2010 crop season. The experiment was conducted in a completely randomized block design with four replications of 10 tobacco lines in the final stage of evaluation; the plots had 6 rows of 7 plants each, or 42 plants per plot. The cured leaf weight per hectare (kg/ha) was obtained. To evaluate stability, the ecovalence and additive main effects and multiplicative interaction models were adopted. In addition, joint analyses of variance were carried out considering different site numbers by simulating resampling. The site number ranged from 2 to 17 or 2 to 16, depending on the varietal group, and sites were selected at random without replacement. The process was repeated 2000 times for each number of sites. All analyses were performed using the R software. The results are very similar for both varietal groups. There is no advantage of using a large number of sites for VCU experiments in the southern region of Brazil because many sites contributed little to the interaction or did not discriminate the tobacco lines. Furthermore, the classification of the best lines is very similar to that obtained in the total number of evaluated sites.</t>
  </si>
  <si>
    <t>[Pulcinelli, C. E.] Companhia Souza Cruz, Rio Negro, PR, Brazil; [Bruzi, A. T.] Univ Fed Lavras, Dept Agr, Lavras, MG, Brazil; [Toledo, F. H. R. B.] Univ Sao Paulo, ESALQ USP, Dept Genet, Piracicaba, SP, Brazil; [Ramalho, M. A. P.] Univ Fed Lavras, Dept Biol, Lavras, MG, Brazil</t>
  </si>
  <si>
    <t>Universidade Federal de Lavras; Universidade de Sao Paulo; Universidade Federal de Lavras</t>
  </si>
  <si>
    <t>Toledo, FHRB (corresponding author), Univ Sao Paulo, ESALQ USP, Dept Genet, Piracicaba, SP, Brazil.</t>
  </si>
  <si>
    <t>10.4238/2014.July.25.8</t>
  </si>
  <si>
    <t>AN1ZV</t>
  </si>
  <si>
    <t>WOS:000340383600089</t>
  </si>
  <si>
    <t>Wimmer, V; Lehermeier, C; Albrecht, T; Auinger, HJ; Wang, Y; Schön, CC</t>
  </si>
  <si>
    <t>Wimmer, Valentin; Lehermeier, Christina; Albrecht, Theresa; Auinger, Hans-Juergen; Wang, Yu; Schoen, Chris-Carolin</t>
  </si>
  <si>
    <t>Genome-Wide Prediction of Traits with Different Genetic Architecture Through Efficient Variable Selection</t>
  </si>
  <si>
    <t>COMPLEX TRAITS; INBRED LINES; RELATIONSHIP INFORMATION; BREEDING VALUES; MODELS; ASSOCIATION; REGRESSION; IMPACT; REGULARIZATION; PERFORMANCE</t>
  </si>
  <si>
    <t>In genome-based prediction there is considerable uncertainty about the statistical model and method required to maximize prediction accuracy. For traits influenced by a small number of quantitative trait loci (QTL), predictions are expected to benefit from methods performing variable selection [e. g., BayesB or the least absolute shrinkage and selection operator (LASSO)] compared to methods distributing effects across the genome [ridge regression best linear unbiased prediction (RR-BLUP)]. We investigate the assumptions underlying successful variable selection by combining computer simulations with large-scale experimental data sets from rice (Oryza sativa L.), wheat (Triticum aestivum L.), and Arabidopsis thaliana (L.). We demonstrate that variable selection can be successful when the number of phenotyped individuals is much larger than the number of causal mutations contributing to the trait. We show that the sample size required for efficient variable selection increases dramatically with decreasing trait heritabilities and increasing extent of linkage disequilibrium (LD). We contrast and discuss contradictory results from simulation and experimental studies with respect to superiority of variable selection methods over RR-BLUP. Our results demonstrate that due to long-range LD, medium heritabilities, and small sample sizes, superiority of variable selection methods cannot be expected in plant breeding populations even for traits like FRIGIDA gene expression in Arabidopsis and flowering time in rice, assumed to be influenced by a few major QTL. We extend our conclusions to the analysis of whole-genome sequence data and infer upper bounds for the number of causal mutations which can be identified by LASSO. Our results have major impact on the choice of statistical method needed to make credible inferences about genetic architecture and prediction accuracy of complex traits.</t>
  </si>
  <si>
    <t>[Wimmer, Valentin; Lehermeier, Christina; Albrecht, Theresa; Auinger, Hans-Juergen; Wang, Yu; Schoen, Chris-Carolin] Tech Univ Munich, D-85354 Freising Weihenstephan, Germany</t>
  </si>
  <si>
    <t>Technical University of Munich</t>
  </si>
  <si>
    <t>Schön, CC (corresponding author), Tech Univ Munich, Wissenschaftszentrum Weihenstephan, Emil Ramann Str 4, D-85354 Freising Weihenstephan, Germany.</t>
  </si>
  <si>
    <t>chris.schoen@tum.de</t>
  </si>
  <si>
    <t>Auinger, Hans-Jürgen/AAM-9059-2020; Schoen, Chris/G-1867-2011</t>
  </si>
  <si>
    <t>Auinger, Hans-Jurgen/0000-0001-5055-5328; Wimmer, Valentin/0000-0001-7127-4429; Lehermeier, Christina/0000-0001-7724-0887</t>
  </si>
  <si>
    <t>German Federal Ministry of Education and Research (BMBF) within the AgroClustEr Synbreed-Synergistic plant and animal breeding [FKZ 0315528A]</t>
  </si>
  <si>
    <t>German Federal Ministry of Education and Research (BMBF) within the AgroClustEr Synbreed-Synergistic plant and animal breeding</t>
  </si>
  <si>
    <t>We thank Dorian Garrick for his help on running GenSel; Nicole Kramer, Ulrike Ober, and Daniel Gianola for discussions and comments; and Michael Lechermann for his help on running the cross-validation with GenSel. We thank the authors in Atwell et al. (2010), Zhao et al. (2011), and Poland et al. (2012) for making their data sets publicly available. The authors thank two anonymous reviewers for their constructive comments. This research was funded by the German Federal Ministry of Education and Research (BMBF) within the AgroClustEr Synbreed-Synergistic plant and animal breeding (FKZ 0315528A).</t>
  </si>
  <si>
    <t>GENETICS SOC AM</t>
  </si>
  <si>
    <t>10.1534/genetics.113.150078</t>
  </si>
  <si>
    <t>229RY</t>
  </si>
  <si>
    <t>WOS:000325286200024</t>
  </si>
  <si>
    <t>Messina, CD; Jones, JW; Boote, KJ; Vallejos, CE</t>
  </si>
  <si>
    <t>A gene-based model to simulate soybean development and yield responses to environment</t>
  </si>
  <si>
    <t>QUANTITATIVE TRAIT LOCI; GLYCINE-MAX L; MATURITY ISOLINES; CROP SIMULATION; PERFORMANCE TRIALS; AGRONOMIC TRAITS; FLOWERING TIME; L MERRILL; PHOTOPERIOD; COEFFICIENTS</t>
  </si>
  <si>
    <t>Realizing the potential of agricultural genomics into practical applications requires quantitative predictions for complex traits and different genotypes and environmental conditions. The objective of this study was to develop and test a procedure for quantitative prediction of phenotypes as a function of environment and specific genetic loci in soybean [Glycine max (L.) Merrill]. We combined the ecophysiological model CROPGRO-Soybean with linear models that predict cultivar-specific parameters as functions of E loci. The procedure involved three steps: (i) a field experiment was conducted in Florida in 2001 to obtain phenotypic data for a set of near-isogenic lines (NILs) with known genotypes at six E loci; (ii) we used these data to estimate cultivar-specific parameters for CROPGRO-Soybean, minimizing root mean square error (RMSE) between observed and simulated values; (iii) these parameters were then expressed as linear functions of the (known) E loci. CROPGRO-Soybean predicted various phenological stages for the same NILs grown in 2002 in Florida with a RMSE of about 5 d using the E loci-derived parameters. A second evaluation of the approach used phenotypic data from cultivar trials conducted in Illinois. Cultivars were genotyped at the E loci using microsatellites. The model predicted time to maturity in the Illinois variety trials with RMSE around 7.5 d; it also explained 75% of the time-to-maturity variance and 54% of the yield variance. Our results suggest that gene-based approaches can effectively use agricultural genomics data for cultivar performance prediction. This technology may have multiple uses in plant breeding.</t>
  </si>
  <si>
    <t>Univ Florida, Hort Sci Dep, Gainesville, FL 32611 USA</t>
  </si>
  <si>
    <t>Messina, CD (corresponding author), Univ Florida, Hort Sci Dep, Gainesville, FL 32611 USA.</t>
  </si>
  <si>
    <t>Charlie.Messina@pioneer.com</t>
  </si>
  <si>
    <t>Jones, James/AAP-9048-2020</t>
  </si>
  <si>
    <t>Boote, Kenneth/0000-0002-1358-5496; Messina, Carlos/0000-0002-5501-9281; Vallejos, Carlos/0000-0001-8936-7885</t>
  </si>
  <si>
    <t>10.2135/cropsci2005.04-0372</t>
  </si>
  <si>
    <t>009HY</t>
  </si>
  <si>
    <t>WOS:000235103700060</t>
  </si>
  <si>
    <t>Lourenço, VM; Rodrigues, PC; Pires, AM; Piepho, HP</t>
  </si>
  <si>
    <t>Lourenco, V. M.; Rodrigues, P. C.; Pires, A. M.; Piepho, H. -P</t>
  </si>
  <si>
    <t>A robust DF-REML framework for variance components estimation in genetic studies</t>
  </si>
  <si>
    <t>RESTRICTED MAXIMUM-LIKELIHOOD; ANIMAL-MODELS; GENOMIC PREDICTION; OUTLIER DETECTION; PLANT; HERITABILITY; REGRESSION; COEFFICIENT; SELECTION; ACCURACY</t>
  </si>
  <si>
    <t>In genetic association studies, linear mixed models (LMMs) are used to test for associations between phenotypes and candidate single nucleotide polymorphisms (SNPs). These same models are also used to estimate heritability, which is central not only to evolutionary biology but also to the prediction of the response to selection in plant and animal breeding, as well as the prediction of disease risk in humans. However, when one or more of the underlying assumptions are violated, the estimation of variance components may be compromised and therefore so may the estimates of heritability and any other functions of these. Considering that datasets obtained from real life experiments are prone to several sources of contamination, which usually induce the violation of the assumption of the normality of the errors, a robust derivative-free restricted-maximum likelihood framework (DF-REML) together with a robust coefficient of determination are proposed for the LMM in the context of genetic studies of continuous traits. The proposed approach, in addition to the robust estimation of variance components and robust computation of the coefficient of determination, allows in particular for the robust estimation of SNP-based heritability by reducing the bias and increasing the precision of its estimates. The performance of both classical and robust DF-REML approaches is compared via a Monte Carlo simulation study. Additionally, three examples of application of the methodologies to real datasets are given in order to validate the usefulness of the proposed robust approach. Although the main focus of this article is on plant breeding applications, the proposed methodology is applicable to both human and animal genetic studies.</t>
  </si>
  <si>
    <t>[Lourenco, V. M.] FCT NOVA Univ Lisbon, CMA, Lisbon, Portugal; [Lourenco, V. M.] FCT NOVA Univ Lisbon, Dept Math, Lisbon, Portugal; [Rodrigues, P. C.] Univ Fed Bahia, Dept Stat, Salvador, Brazil; [Rodrigues, P. C.] Univ Tampere, Fac Nat Sci, CAST, Tampere, Finland; [Pires, A. M.] IST Univ Lisbon, Ctr Computat &amp; Stochast Math CEMAT, Lisbon, Portugal; [Pires, A. M.] IST Univ Lisbon, Dept Math, Lisbon, Portugal; [Piepho, H. -P] Univ Hohenheim, Inst Crop Sci, Biostat Unit, Stuttgart, Germany</t>
  </si>
  <si>
    <t>Universidade Nova de Lisboa; Universidade Nova de Lisboa; Universidade Federal da Bahia; Tampere University; University Hohenheim</t>
  </si>
  <si>
    <t>Lourenço, VM (corresponding author), FCT NOVA Univ Lisbon, CMA, Lisbon, Portugal.;Lourenço, VM (corresponding author), FCT NOVA Univ Lisbon, Dept Math, Lisbon, Portugal.</t>
  </si>
  <si>
    <t>Lourenço, Vanda/HGE-5027-2022; Pires, Ana/B-6894-2009; Lourenco, Vanda/R-8664-2018; Rodrigues, Paulo Canas/D-5067-2009</t>
  </si>
  <si>
    <t>Lourenco, Vanda/0000-0001-8338-7279; Rodrigues, Paulo Canas/0000-0002-1248-9910; Piepho, Hans-Peter/0000-0001-7813-2992</t>
  </si>
  <si>
    <t>Fundacao para a Ciencia e a Tecnologia (Portuguese Foundation for Science and Technology) [PTDC/MAT-STA/0568/2012, UID/MAT/00297/2013]; Portuguese Foundation for Science and Technology [SFRH/BSAB/105935/2014]; European Commission [29191 (P) 04/2014/STT, 29191 (T) 009/2015/STT]; Conselho de Reitores das Universidades Portuguesas (CRUP); Deutscher Akademischer Austauschdienst (DAAD) through the Luso-German Integrated Actions Project [PT/A13/17-DE/57339863]; National Council for Scientific and Technological Development (CNPq) [UNIVERSAL-MCTI/CNPq No 448775/2014-0]; DFG [PI 377/18-1]; Fundação para a Ciência e a Tecnologia [PTDC/MAT-STA/0568/2012] Funding Source: FCT</t>
  </si>
  <si>
    <t>Fundacao para a Ciencia e a Tecnologia (Portuguese Foundation for Science and Technology)(Fundacao para a Ciencia e a Tecnologia (FCT)); Portuguese Foundation for Science and Technology(Fundacao para a Ciencia e a Tecnologia (FCT)); European Commission(European Union (EU)European Commission Joint Research Centre); Conselho de Reitores das Universidades Portuguesas (CRUP); Deutscher Akademischer Austauschdienst (DAAD) through the Luso-German Integrated Actions Project(Deutscher Akademischer Austausch Dienst (DAAD)); National Council for Scientific and Technological Development (CNPq)(Conselho Nacional de Desenvolvimento Cientifico e Tecnologico (CNPQ)); DFG(German Research Foundation (DFG)); Fundação para a Ciência e a Tecnologia(Fundacao para a Ciencia e a Tecnologia (FCT))</t>
  </si>
  <si>
    <t>This work was partially supported by the Fundacao para a Ciencia e a Tecnologia (Portuguese Foundation for Science and Technology) through projects PTDC/MAT-STA/0568/2012 and UID/MAT/00297/2013 (Centre for Mathematics and Applications). V.M.L. acknowledges financial support from Sabbatical Grant SFRH/BSAB/105935/2014, awarded by the Portuguese Foundation for Science and Technology, and Erasmus Mobility Grants 29191 (P) 04/2014/STT and 29191 (T) 009/2015/STT, awarded by the European Commission. V.M.L. and H.-P. P. acknowledge partial support by the Conselho de Reitores das Universidades Portuguesas (CRUP) and the Deutscher Akademischer Austauschdienst (DAAD) through the Luso-German Integrated Actions Project PT/A13/17-DE/57339863. P.C.R. acknowledges financial support from the National Council for Scientific and Technological Development (CNPq) through project UNIVERSAL-MCTI/CNPq No 448775/2014-0. H.-P.P. acknowledges support by DFG grant PI 377/18-1.</t>
  </si>
  <si>
    <t>1460-2059</t>
  </si>
  <si>
    <t>NOV 15</t>
  </si>
  <si>
    <t>10.1093/bioinformatics/btx457</t>
  </si>
  <si>
    <t>FM5KX</t>
  </si>
  <si>
    <t>WOS:000415074800010</t>
  </si>
  <si>
    <t>Marttinen, P; Corander, J</t>
  </si>
  <si>
    <t>Marttinen, Pekka; Corander, Jukka</t>
  </si>
  <si>
    <t>Efficient Bayesian approach for multilocus association mapping including gene-gene interactions</t>
  </si>
  <si>
    <t>BMC BIOINFORMATICS</t>
  </si>
  <si>
    <t>GENOME-WIDE ASSOCIATION; STATISTICAL-METHODS; MCMC</t>
  </si>
  <si>
    <t>Background: Since the introduction of large-scale genotyping methods that can be utilized in genome-wide association (GWA) studies for deciphering complex diseases, statistical genetics has been posed with a tremendous challenge of how to most appropriately analyze such data. A plethora of advanced model-based methods for genetic mapping of traits has been available for more than 10 years in animal and plant breeding. However, most such methods are computationally intractable in the context of genome-wide studies. Therefore, it is hardly surprising that GWA analyses have in practice been dominated by simple statistical tests concerned with a single marker locus at a time, while the more advanced approaches have appeared only relatively recently in the biomedical and statistical literature. Results: We introduce a novel Bayesian modeling framework for association mapping which enables the detection of multiple loci and their interactions that influence a dichotomous phenotype of interest. The method is shown to perform well in a simulation study when compared to widely used standard alternatives and its computational complexity is typically considerably smaller than that of a maximum likelihood based approach. We also discuss in detail the sensitivity of the Bayesian inferences with respect to the choice of prior distributions in the GWA context. Conclusions: Our results show that the Bayesian model averaging approach which explicitly considers gene-gene interactions may improve the detection of disease associated genetic markers in two respects: first, by providing better estimates of the locations of the causal loci; second, by reducing the number of false positives. The benefits are most apparent when the interacting genes exhibit no main effects. However, our findings also illustrate that such an approach is somewhat sensitive to the prior distribution assigned on the model structure.</t>
  </si>
  <si>
    <t>[Marttinen, Pekka] Aalto Univ, Dept Biomed Engn &amp; Computat Sci, FI-02015 Helsinki, Finland; [Corander, Jukka] Univ Helsinki, Dept Math &amp; Stat, FI-00014 Helsinki, Finland; [Corander, Jukka] Abo Akad Univ, Dept Math, FI-20500 Turku, Finland</t>
  </si>
  <si>
    <t>Aalto University; University of Helsinki; Abo Akademi University</t>
  </si>
  <si>
    <t>Marttinen, P (corresponding author), Aalto Univ, Dept Biomed Engn &amp; Computat Sci, FI-02015 Helsinki, Finland.</t>
  </si>
  <si>
    <t>pekka.marttinen@hut.fi</t>
  </si>
  <si>
    <t>Marttinen, Pekka/N-6234-2015</t>
  </si>
  <si>
    <t>Marttinen, Pekka/0000-0001-7078-7927</t>
  </si>
  <si>
    <t>Academy of Finland; ERC [239784]; European Research Council (ERC) [239784] Funding Source: European Research Council (ERC)</t>
  </si>
  <si>
    <t>Academy of Finland(Research Council of Finland); ERC(European Research Council (ERC)); European Research Council (ERC)(European Research Council (ERC))</t>
  </si>
  <si>
    <t>This work was funded by a grant from the Academy of Finland to the Pubgensens project and ERC grant no. 239784.</t>
  </si>
  <si>
    <t>1471-2105</t>
  </si>
  <si>
    <t>BMC Bioinformatics</t>
  </si>
  <si>
    <t>SEP 2</t>
  </si>
  <si>
    <t>10.1186/1471-2105-11-443</t>
  </si>
  <si>
    <t>Biochemistry &amp; Molecular Biology; Biotechnology &amp; Applied Microbiology; Mathematical &amp; Computational Biology</t>
  </si>
  <si>
    <t>660PK</t>
  </si>
  <si>
    <t>WOS:000282655400001</t>
  </si>
  <si>
    <t>Tourrette, E; Bernardo, R; Falque, M; Martin, OC</t>
  </si>
  <si>
    <t>Tourrette, Elise; Bernardo, Rex; Falque, Matthieu; Martin, Olivier C.</t>
  </si>
  <si>
    <t>Assessing by Modeling the Consequences of Increased Recombination in Recurrent Selection of Oryza sativa and Brassica rapa</t>
  </si>
  <si>
    <t>quantitative genetics; genomic selection; plant breeding; simulation</t>
  </si>
  <si>
    <t>QUANTITATIVE TRAITS; MEIOTIC CROSSOVERS; LINKAGE; SEX; INTERFERENCE; ADVANTAGE; EFFICACY; LIMITS; HEI10; RFLP</t>
  </si>
  <si>
    <t>Meiotic recombination generates genetic diversity but in most species the number of crossovers per meiosis is limited. Previous modeling studies showed that increasing recombination can enhance response to selection. However, such studies did not assume a specific method of modifying recombination. Our objective was to test whether two methods used to increase recombination in plants could increase genetic gain in a population undergoing recurrent selection such as in genomic selection programs. The first method, in Oryza sativa, used a mutant of anti-crossover genes, increasing global recombination without affecting the recombination landscape shape. The second one used the ploidy level of a cross between Brassica rapa and Brassica napus, increasing recombination especially in pericentromeric regions. Our modeling framework used these recombination landscapes and sampled quantitative trait loci positions from the actual gene distributions. We simulated selection programs with initially a cross between two inbred lines, for two species. Increased recombination enhanced the response to selection. The amount of enhancement in the cumulative gain largely depended on the species and the number of quantitative trait loci (2, 10, 20, 50, 200 or 1000 per chromosome). Genetic gains were increased up to 30% after 20 generations. Furthermore, increasing recombination in cold regions was the most effective: the gain was larger by 25% with the first method and 34% with the second one in B. rapa, and 12% compared to 16% in O. sativa. In summary, increased recombination enhances the genetic gain in long-term selection programs, with visible effects after four to five generations.</t>
  </si>
  <si>
    <t>[Tourrette, Elise; Falque, Matthieu; Martin, Olivier C.] Univ Paris Sud, Univ Paris Saclay, AgroParisTech, CNRS,GQE Le Moulon,INRA, Gif Sur Yvette, France; [Bernardo, Rex] Univ Minnesota, Dept Agron &amp; Plant Genet, St Paul, MN USA</t>
  </si>
  <si>
    <t>INRAE; Centre National de la Recherche Scientifique (CNRS); Universite Paris Saclay; AgroParisTech; University of Minnesota System; University of Minnesota Twin Cities</t>
  </si>
  <si>
    <t>Martin, OC (corresponding author), Univ Paris Sud, Univ Paris Saclay, AgroParisTech, CNRS,GQE Le Moulon,INRA, Gif Sur Yvette, France.</t>
  </si>
  <si>
    <t>olivier.c.martin@inra.fr</t>
  </si>
  <si>
    <t>Tourrette, Elise/JMT-5941-2023; Martin, Olivier/B-6656-2012</t>
  </si>
  <si>
    <t>Tourrette, Elise/0000-0002-0822-5330; Martin, Olivier/0000-0002-5295-5963; Falque, Matthieu/0000-0002-6444-858X</t>
  </si>
  <si>
    <t>French State grant (LabEx Saclay Plant Sciences-SPS) [ANR-10-LABX-0040-SPS, ANR-11-IDEX-0003-02]; KWS; MARS; Secobra</t>
  </si>
  <si>
    <t>French State grant (LabEx Saclay Plant Sciences-SPS); KWS; MARS; Secobra</t>
  </si>
  <si>
    <t>We thank S. Mezmouk, E. Jenczewski, J.C. Motamayor, D. Livingston, C.E. Durel and R. Mercier for constructive comments and discussion. This work has benefited from a French State grant (LabEx Saclay Plant Sciences-SPS, ANR-10-LABX-0040-SPS), managed by the French National Research Agency under an Investments for the Future program (ANR-11-IDEX-0003-02) and KWS, MARS, and Secobra which co-funded the salary of ET and Ecole Doctorale FIRE -Program Bettencourt for support.</t>
  </si>
  <si>
    <t>10.1534/g3.119.400545</t>
  </si>
  <si>
    <t>KJ3OP</t>
  </si>
  <si>
    <t>WOS:000511967400025</t>
  </si>
  <si>
    <t>Wen, XP; Huang, G; Li, CY; Zhu, YX</t>
  </si>
  <si>
    <t>Wen, Xingpeng; Huang, Gai; Li, Chenyu; Zhu, Yuxian</t>
  </si>
  <si>
    <t>A Malvaceae-specific miRNA targeting the newly duplicated GaZIP1L to regulate Zn2+ ion transporter capacity in cotton ovules</t>
  </si>
  <si>
    <t>SCIENCE CHINA-LIFE SCIENCES</t>
  </si>
  <si>
    <t>gar-miRN44; Malvaceae; GaZIP1L; Zn2+ ion transport; cotton ovule development</t>
  </si>
  <si>
    <t>ANALYSIS REVEALS; ZINC TRANSPORTERS; FIBER DEVELOPMENT; GENOME SEQUENCE; CELL ELONGATION; ARABIDOPSIS; MICRORNAS; EXPRESSION; IDENTIFICATION; PLANTS</t>
  </si>
  <si>
    <t>MicroRNAs (miRNAs) play critical roles in regulating gene expression in plants, yet their functions underlying cultivated diploid Gossypium arboreum cotton ovule development are largely unknown. Here, we acquired small RNA profiles from G. arboreum ovules and fibers collected at different growth stages, and identified 46 novel miRNAs that accounted for 23.7% of all miRNAs in G. arboreum reported in the latest plant sRNA database. Through analysis of 84 (including 38 conserved) differentially expressed G. arboreum miRNAs, we detected 215 putative protein-coding genes in 26 biological processes as their potential targets. A Malvaceae-specific novel miRNA named gar-miRN44 was found to likely regulate cotton ovule growth by targeting to a newly duplicated Zn2+ ion transporter gene GaZIP1L. During cotton ovule development, gar-miRN44 transcript level decreased sharply after 10 to 15 days post-anthesis (DPA), while that of the GaZIP1L increased significantly, with a concomitant increase of Zn2+ ion concentration in late ovule developmental stages. Molecular dynamics simulation and ion absorption analysis showed that GaZIP1L has stronger Zn2+ ion binding ability than the original GaZIP1, indicating that the newly evolved GaZIP1L may be more suitable for maintaining high Zn2+ ion transport capacity that is likely required for cotton ovule growth via enhanced cellulose synthase activities. Our systematic miRNA profiling in G. arboreum and characterization of gar-miRN44 not only contribute to the understanding of miRNA function in cotton, but also provide potential targets for plant breeding.</t>
  </si>
  <si>
    <t>[Wen, Xingpeng; Zhu, Yuxian] Wuhan Univ, Inst Adv Studies, Wuhan 430072, Peoples R China; [Huang, Gai; Li, Chenyu; Zhu, Yuxian] Peking Univ, Sch Life Sci, State Key Lab Prot &amp; Plant Gene Res, Beijing 100871, Peoples R China</t>
  </si>
  <si>
    <t>Wuhan University; Peking University</t>
  </si>
  <si>
    <t>Zhu, YX (corresponding author), Wuhan Univ, Inst Adv Studies, Wuhan 430072, Peoples R China.;Zhu, YX (corresponding author), Peking Univ, Sch Life Sci, State Key Lab Prot &amp; Plant Gene Res, Beijing 100871, Peoples R China.</t>
  </si>
  <si>
    <t>zhuyx@whu.edu.cn</t>
  </si>
  <si>
    <t>huang, gai/GYJ-2183-2022; Li, Chen-Yu/JGM-8767-2023; Zhao, Yuxin/HNS-3187-2023</t>
  </si>
  <si>
    <t>Huang, Gai/0000-0003-0426-9691</t>
  </si>
  <si>
    <t>National Natural Science Foundation of China [31690090, 31690091]; National Postdoctoral Program for Innovative Talent</t>
  </si>
  <si>
    <t>National Natural Science Foundation of China(National Natural Science Foundation of China (NSFC)); National Postdoctoral Program for Innovative Talent</t>
  </si>
  <si>
    <t>This work was supported by grants from the National Natural Science Foundation of China (31690090 and 31690091 to Y.Z.) and the National Postdoctoral Program for Innovative Talent (to G.H.).</t>
  </si>
  <si>
    <t>1674-7305</t>
  </si>
  <si>
    <t>1869-1889</t>
  </si>
  <si>
    <t>SCI CHINA LIFE SCI</t>
  </si>
  <si>
    <t>Sci. China-Life Sci.</t>
  </si>
  <si>
    <t>10.1007/s11427-020-1868-9</t>
  </si>
  <si>
    <t>SD6RQ</t>
  </si>
  <si>
    <t>WOS:000611062200001</t>
  </si>
  <si>
    <t>Sallam, AH; Endelman, JB; Jannink, JL; Smith, KP</t>
  </si>
  <si>
    <t>Sallam, A. H.; Endelman, J. B.; Jannink, J. -L.; Smith, K. P.</t>
  </si>
  <si>
    <t>Assessing Genomic Selection Prediction Accuracy in a Dynamic Barley Breeding Population</t>
  </si>
  <si>
    <t>HEAD BLIGHT RESISTANCE; MARKER-ASSISTED SELECTION; HILBERT-SPACES REGRESSION; QUANTITATIVE TRAIT LOCI; LINKAGE DISEQUILIBRIUM; GENETIC ARCHITECTURE; RIDGE-REGRESSION; COMPLEX TRAITS; F-STATISTICS; REGISTRATION</t>
  </si>
  <si>
    <t>Prediction accuracy of genomic selection (GS) has been previously evaluated through simulation and cross-validation; however, validation based on progeny performance in a plant breeding program has not been investigated thoroughly. We evaluated several prediction models in a dynamic barley breeding population comprised of 647 six-row lines using four traits differing in genetic architecture and 1536 single nucleotide polymorphism (SNP) markers. The breeding lines were divided into six sets designated as one parent set and five consecutive progeny sets comprised of representative samples of breeding lines over a 5-yr period. We used these data sets to investigate the effect of model and training population composition on prediction accuracy over time. We found little difference in prediction accuracy among the models confirming prior studies that found the simplest model, random regression best linear unbiased prediction (RR-BLUP), to be accurate across a range of situations. In general, we found that using the parent set was sufficient to predict progeny sets with little to no gain in accuracy from generating larger training populations by combining the parent set with subsequent progeny sets. The prediction accuracy ranged from 0.03 to 0.99 across the four traits and five progeny sets. We explored characteristics of the training and validation populations (marker allele frequency, population structure, and linkage disequilibrium, LD) as well as characteristics of the trait (genetic architecture and heritability, H-2). Fixation of markers associated with a trait over time was most clearly associated with reduced prediction accuracy for the mycotoxin trait DON. Higher trait H-2 in the training population and simpler trait architecture were associated with greater prediction accuracy.</t>
  </si>
  <si>
    <t>[Sallam, A. H.; Smith, K. P.] Univ Minnesota, Dept Agron &amp; Plant Genet, St Paul, MN 55108 USA; [Endelman, J. B.] Univ Wisconsin, Dept Hort, Madison, WI 53706 USA; [Jannink, J. -L.] Cornell Univ, USDA ARS, RW Holley Ctr Agr &amp; Hlth, Ithaca, NY 14853 USA</t>
  </si>
  <si>
    <t>University of Minnesota System; University of Minnesota Twin Cities; University of Wisconsin System; University of Wisconsin Madison; Cornell University; United States Department of Agriculture (USDA)</t>
  </si>
  <si>
    <t>Smith, KP (corresponding author), Univ Minnesota, Dept Agron &amp; Plant Genet, St Paul, MN 55108 USA.</t>
  </si>
  <si>
    <t>smith376@umn.edu</t>
  </si>
  <si>
    <t>Jannink, Jean-Luc/AFQ-9191-2022; Smith, Kevin/K-5157-2015</t>
  </si>
  <si>
    <t>Smith, Kevin/0000-0001-8253-3326; Jannink, Jean-Luc/0000-0003-4849-628X; Sallam, Ahmad/0000-0003-3212-9231</t>
  </si>
  <si>
    <t>National Institute of Food and Agriculture USDA [2009-65300-05661]; U.S. Wheat and Barley Scab Initiative USDA-ARS [59-0206-9-072]; USDA HATCH project [MIN-13-030]; Rahr Foundation; ARS [ARS-0424887, 813476] Funding Source: Federal RePORTER</t>
  </si>
  <si>
    <t>National Institute of Food and Agriculture USDA(United States Department of Agriculture (USDA)); U.S. Wheat and Barley Scab Initiative USDA-ARS(United States Department of Agriculture (USDA)USDA Agricultural Research Service); USDA HATCH project; Rahr Foundation; ARS(United States Department of Agriculture (USDA)USDA Agricultural Research Service)</t>
  </si>
  <si>
    <t>We thank Ed Schiefelbein, Guillermo Velasquez, Karen Beaubien, Richard Horsley, the Minnesota Agricultural Experiment Station NW and WC Research and Outreach Centers, and the University of Minnesota Small Grains Pathology Lab for their contributions to conducting field trials and collecting data. In addition, we thank Shiaoman Chao and Yanhong Dong for SNP genotyping and toxin analysis, respectively. Additional thanks to Yang Da for helpful suggestions on an earlier draft of this manuscript. Funding for this work was supported by grants from the National Institute of Food and Agriculture USDA Award Number 2009-65300-05661, the U.S. Wheat and Barley Scab Initiative USDA-ARS Agreement No. 59-0206-9-072, USDA HATCH project MIN-13-030, and the Rahr Foundation. Any opinions, findings, conclusions, or recommendations expressed in this publication are those of the authors and do not necessarily reflect the view of the USDA.</t>
  </si>
  <si>
    <t>10.3835/plantgenome2014.05.0020</t>
  </si>
  <si>
    <t>CF4CA</t>
  </si>
  <si>
    <t>WOS:000352494900001</t>
  </si>
  <si>
    <t>Sagan, V; Maimaitijiang, M; Paheding, S; Bhadra, S; Gosselin, N; Burnette, M; Demieville, J; Hartling, S; LeBauer, D; Newcomb, M; Pauli, D; Peterson, KT; Shakoor, N; Stylianou, A; Zender, CS; Mockler, TC</t>
  </si>
  <si>
    <t>Sagan, Vasit; Maimaitijiang, Maitiniyazi; Paheding, Sidike; Bhadra, Sourav; Gosselin, Nichole; Burnette, Max; Demieville, Jeffrey; Hartling, Sean; LeBauer, David; Newcomb, Maria; Pauli, Duke; Peterson, Kyle T.; Shakoor, Nadia; Stylianou, Abby; Zender, Charles S.; Mockler, Todd C.</t>
  </si>
  <si>
    <t>Data-Driven Artificial Intelligence for Calibration of Hyperspectral Big Data</t>
  </si>
  <si>
    <t>IEEE TRANSACTIONS ON GEOSCIENCE AND REMOTE SENSING</t>
  </si>
  <si>
    <t>Calibration; Hyperspectral imaging; Radiometry; Atmospheric measurements; Atmospheric modeling; Artificial intelligence; Cameras; Bidirectional reflectance distribution function (BRDF) correction; high-throughput phenotyping; image quality assessment; shadow compensation; soil removal</t>
  </si>
  <si>
    <t>VEGETATION INDEXES; RADIOMETRIC CALIBRATION; SURFACE REFLECTANCE; CHLOROPHYLL CONTENT; NARROW-BAND; SIMULATION; SYSTEM; MODELS; CLASSIFICATION; SPECTROSCOPY</t>
  </si>
  <si>
    <t>Near-earth hyperspectral big data present both huge opportunities and challenges for spurring developments in agriculture and high-throughput plant phenotyping and breeding. In this article, we present data-driven approaches to address the calibration challenges for utilizing near-earth hyperspectral data for agriculture. A data-driven, fully automated calibration workflow that includes a suite of robust algorithms for radiometric calibration, bidirectional reflectance distribution function (BRDF) correction and reflectance normalization, soil and shadow masking, and image quality assessments was developed. An empirical method that utilizes predetermined models between camera photon counts (digital numbers) and downwelling irradiance measurements for each spectral band was established to perform radiometric calibration. A kernel-driven semiempirical BRDF correction method based on the Ross Thick-Li Sparse (RTLS) model was used to normalize the data for both changes in solar elevation and sensor view angle differences attributed to pixel location within the field of view. Following rigorous radiometric and BRDF corrections, novel rule-based methods were developed to conduct automatic soil removal; and a newly proposed approach was used for image quality assessment; additionally, shadow masking and plot-level feature extraction were carried out. Our results show that the automated calibration, processing, storage, and analysis pipeline developed in this work can effectively handle massive amounts of hyperspectral data and address the urgent challenges related to the production of sustainable bioenergy and food crops, targeting methods to accelerate plant breeding for improving yield and biomass traits.</t>
  </si>
  <si>
    <t>[Sagan, Vasit; Maimaitijiang, Maitiniyazi; Bhadra, Sourav; Gosselin, Nichole; Hartling, Sean; Peterson, Kyle T.] St Louis Univ, Geospatial Inst, Dept Earth &amp; Atmospher Sci, St Louis, MO 63108 USA; [Paheding, Sidike] Michigan Technol Univ, Dept Appl Comp, Houghton, MI 49931 USA; [Burnette, Max] Univ Illinois, Natl Ctr Supercomp Applicat, Urbana, IL 61801 USA; [Demieville, Jeffrey; Pauli, Duke] Univ Arizona, Sch Plant Sci, Tucson, AZ 85721 USA; [LeBauer, David] Univ Arizona, Arizona Expt Stn, Tucson, AZ 85721 USA; [Newcomb, Maria] US Forest Serv, Forest Hlth Protect, Ogden, UT 84403 USA; [Shakoor, Nadia; Mockler, Todd C.] Donald Danforth Plant Sci Ctr, St Louis, MO 63132 USA; [Stylianou, Abby] St Louis Univ, Dept Comp Sci, St Louis, MO 63108 USA; [Zender, Charles S.] Univ Calif Irvine, Dept Earth Syst Sci, Irvine, CA 92697 USA</t>
  </si>
  <si>
    <t>Saint Louis University; Michigan Technological University; University of Illinois System; University of Illinois Urbana-Champaign; University of Arizona; University of Arizona; United States Department of Agriculture (USDA); United States Forest Service; Donald Danforth Plant Science Center; Washington University (WUSTL); Saint Louis University; University of California System; University of California Irvine</t>
  </si>
  <si>
    <t>Sagan, V (corresponding author), St Louis Univ, Geospatial Inst, Dept Earth &amp; Atmospher Sci, St Louis, MO 63108 USA.</t>
  </si>
  <si>
    <t>vasit.sagan@slu.edu; mason.maimaitijiang@slu.edu; spahedin@mtu.edu; sourav.bhadra@slu.edu; nichole.gosselin@slu.edu; mburnet2@illinois.edu; jdemieville@arizona.edu; sean.hartling@slu.edu; dlebauer@email.arizona.edu; maria.newcomb2@usda.gov; dukepauli@email.arizona.edu; kyle.t.peterson@slu.edu; nshakoor@danforthcenter.org; abby.stylianou@slu.edu; zender@uci.edu; tmockler@danforthcenter.org</t>
  </si>
  <si>
    <t>Paheding, Sidike/O-5094-2019; LeBauer, David/AAV-6820-2021; Fahlgren, Noah/D-4404-2011; Bhadra, Sourav/AAT-9387-2020; Mockler, Todd/L-2609-2013; Zender, Charles/D-4485-2012; LeBauer, David/N-2735-2013</t>
  </si>
  <si>
    <t>/0000-0003-4712-9672; Maimaitijiang, Maitiniyazi/0000-0001-6153-1583; Zender, Charles/0000-0003-0129-8024; Burnette, Maxwell/0000-0002-1786-3676; Stylianou, Abby/0000-0002-4387-028X; Shakoor, Nadia/0000-0002-2035-7117; Demieville, Jeffrey/0000-0002-7725-7379; Newcomb, Maria/0000-0003-2974-9149; Bhadra, Sourav/0000-0002-5832-4695; LeBauer, David/0000-0001-7228-053X</t>
  </si>
  <si>
    <t>Department of Energy, ARPA-E, ARPA-E awards [DE-AR0000594]; NSF/USDA [2020-67021-31530]</t>
  </si>
  <si>
    <t>Department of Energy, ARPA-E, ARPA-E awards(United States Department of Energy (DOE)); NSF/USDA(United States Department of Agriculture (USDA))</t>
  </si>
  <si>
    <t>This work was supported by the Department of Energy, ARPA-E awards, under Grant DE-AR0000594; NSF/USDA award under Grant 2020-67021-31530.</t>
  </si>
  <si>
    <t>0196-2892</t>
  </si>
  <si>
    <t>1558-0644</t>
  </si>
  <si>
    <t>IEEE T GEOSCI REMOTE</t>
  </si>
  <si>
    <t>IEEE Trans. Geosci. Remote Sensing</t>
  </si>
  <si>
    <t>10.1109/TGRS.2021.3091409</t>
  </si>
  <si>
    <t>JUL 2021</t>
  </si>
  <si>
    <t>Geochemistry &amp; Geophysics; Engineering; Remote Sensing; Imaging Science &amp; Photographic Technology</t>
  </si>
  <si>
    <t>YG8XJ</t>
  </si>
  <si>
    <t>WOS:000732792900001</t>
  </si>
  <si>
    <t>des Déserts, AD; Durand, N; Servin, B; Goudemand-Dugué, E; Alliot, JM; Ruiz, D; Charmet, G; Elsen, JM; Bouchet, S</t>
  </si>
  <si>
    <t>des Deserts, Alice Danguy; Durand, Nicolas; Servin, Bertrand; Goudemand-Dugue, Ellen; Alliot, Jean-Marc; Ruiz, Daniel; Charmet, Gilles; Elsen, Jean-Michel; Bouchet, Sophie</t>
  </si>
  <si>
    <t>Comparison of genomic-enabled cross selection criteria for the improvement of inbred line breeding populations</t>
  </si>
  <si>
    <t>cross value; mating design; genetic gain; diversity management; bread wheat; Genomic Prediction; GenPred; Shared Data Resources</t>
  </si>
  <si>
    <t>PREDICTING GENETIC VARIANCE; GENOMEWIDE SELECTION; RECURRENT SELECTION; PROGENY VARIATION; ASSOCIATION; VALUES; GAIN; LOCI; SIMULATION; QUALITY</t>
  </si>
  <si>
    <t>A crucial step in inbred plant breeding is the choice of mating design to derive high-performing inbred varieties while also maintaining a competitive breeding population to secure sufficient genetic gain in future generations. In practice, the mating design usually relies on crosses involving the best parental inbred lines to ensure high mean progeny performance. This excludes crosses involving lower performing but more complementary parents in terms of favorable alleles. We predicted the ability of crosses to produce putative outstanding progenies (high mean and high variance progeny distribution) using genomic prediction models. This study compared the benefits and drawbacks of 7 genomic cross selection criteria (CSC) in terms of genetic gain for 1 trait and genetic diversity in the next generation. Six CSC were already published, and we propose an improved CSC that can estimate the proportion of progeny above a threshold defined for the whole mating plan. We simulated mating designs optimized using different CSC. The 835 elite parents came from a real breeding program and were evaluated between 2000 and 2016. We applied constraints on parental contributions and genetic similarities between selected parents according to usual breeder practices. Our results showed that CSC based on progeny variance estimation increased the genetic value of superior progenies by up to 5% in the next generation compared to CSC based on the progeny mean estimation (i.e. parental genetic values) alone. It also increased the genetic gain (up to 4%) and/or maintained more genetic diversity at QTLs (up to 4% more genic variance when the marker effects were perfectly estimated).</t>
  </si>
  <si>
    <t>[des Deserts, Alice Danguy; Charmet, Gilles; Bouchet, Sophie] Univ Clermont Auvergne, GDEC, UMR1095, INRAE, F-63000 Clermont Ferrand, Auvergne, France; [des Deserts, Alice Danguy; Servin, Bertrand; Elsen, Jean-Michel] Univ Toulouse, UMR1388, INRAE, GenPhySE, F-31320 Castanet Tolosan, Occitanie, France; [Durand, Nicolas] ENAC Ecole Natl Aviat Civile, F-31000 Toulouse, Occitanie, France; [Goudemand-Dugue, Ellen] Florimond Desprez Veuve &amp; Fils SAS, F-59242 Cappelle En Pevele, Hauts De France, France; [Alliot, Jean-Marc] Inst Rech Informat Toulouse Algorithmes Parallele, IRIT APO, F-31000 Toulouse, Occitanie, France; [Ruiz, Daniel] Inst Natl Polytech Toulouse, INPT ENSEEIHT, Ecole Natl Super Electrotech Elect Informat Hydra, F-31000 Toulouse, Occitanie, France</t>
  </si>
  <si>
    <t>Universite Clermont Auvergne (UCA); INRAE; INRAE; Universite de Toulouse; Universite de Toulouse; Universite Toulouse III - Paul Sabatier; Universite Federale Toulouse Midi-Pyrenees (ComUE); Universite de Toulouse; Institut National Polytechnique de Toulouse</t>
  </si>
  <si>
    <t>Bouchet, S (corresponding author), Univ Clermont Auvergne, GDEC, UMR1095, INRAE, F-63000 Clermont Ferrand, Auvergne, France.;Elsen, JM (corresponding author), Univ Toulouse, UMR1388, INRAE, GenPhySE, F-31320 Castanet Tolosan, Occitanie, France.</t>
  </si>
  <si>
    <t>jean-michel.elsen@inrae.fr; sophie.bouchet@inrae.fr</t>
  </si>
  <si>
    <t>Servin, Bertrand/B-2206-2008</t>
  </si>
  <si>
    <t>Ruiz, Daniel Francois/0009-0004-0900-5542</t>
  </si>
  <si>
    <t>INRAE metaprogram SELGEN (PredHaptor project); French breeding company Florimond Desprez Veuve &amp; fils (Cappelle-en-Pevele, France); Breedwheat grant [10-BTBR-0003]; INRAE IVD program</t>
  </si>
  <si>
    <t>INRAE metaprogram SELGEN (PredHaptor project); French breeding company Florimond Desprez Veuve &amp; fils (Cappelle-en-Pevele, France); Breedwheat grant; INRAE IVD program</t>
  </si>
  <si>
    <t>The doctoral contract and activities of ADdD were funded by the INRAE metaprogram SELGEN (PredHaptor project) and the French breeding company Florimond Desprez Veuve &amp; fils (Cappelle-en-Pevele, France). Genotyping was supported by the Breedwheat grant (10-BTBR-0003) and INRAE IVD program.</t>
  </si>
  <si>
    <t>NOV 1</t>
  </si>
  <si>
    <t>jkad195</t>
  </si>
  <si>
    <t>10.1093/g3journal/jkad195</t>
  </si>
  <si>
    <t>OCT 2023</t>
  </si>
  <si>
    <t>LL8O1</t>
  </si>
  <si>
    <t>WOS:001187049900001</t>
  </si>
  <si>
    <t>Neyhart, JL; Lorenz, AJ; Smith, KP</t>
  </si>
  <si>
    <t>Neyhart, Jeffrey L.; Lorenz, Aaron J.; Smith, Kevin P.</t>
  </si>
  <si>
    <t>Multi-trait Improvement by Predicting Genetic Correlations in Breeding Crosses</t>
  </si>
  <si>
    <t>genetic correlation; genomewide prediction; cross selection; simulation; barley; Genomic Prediction; GenPred; Shared Data Resources</t>
  </si>
  <si>
    <t>GENOMIC SELECTION; GENOMEWIDE SELECTION; MAIZE POPULATIONS; VARIANCE; LINKAGE; YIELD; ASSOCIATION; GERMPLASM; DISEASES; LOCI</t>
  </si>
  <si>
    <t>The many quantitative traits of interest to plant breeders are often genetically correlated, which can complicate progress from selection. Improving multiple traits may be enhanced by identifying parent combinations - an important breeding step - that will deliver more favorable genetic correlations (r(G)). Modeling the segregation of genomewide markers with estimated effects may be one method of predicting r(G) in a cross, but this approach remains untested. Our objectives were to: (i) use simulations to assess the accuracy of genomewide predictions of r(G) and the long-term response to selection when selecting crosses on the basis of such predictions; and (ii) empirically measure the ability to predict genetic correlations using data from a barley (Hordeum vulgare L.) breeding program. Using simulations, we found that the accuracy to predict r(G) was generally moderate and influenced by trait heritability, population size, and genetic correlation architecture (i.e., pleiotropy or linkage disequilibrium). Among 26 barley breeding populations, the empirical prediction accuracy of r(G) was low (-0.012) to moderate (0.42), depending on trait complexity. Within a simulated plant breeding program employing indirect selection, choosing crosses based on predicted r(G) increased multi-trait genetic gain by 11-27% compared to selection on the predicted cross mean. Importantly, when the starting genetic correlation was negative, such cross selection mitigated or prevented an unfavorable response in the trait under indirect selection. Prioritizing crosses based on predicted genetic correlation can be a feasible and effective method of improving unfavorably correlated traits in breeding programs.</t>
  </si>
  <si>
    <t>[Neyhart, Jeffrey L.; Lorenz, Aaron J.; Smith, Kevin P.] Univ Minnesota, Dept Agron &amp; Plant Genet, St Paul, MN 55108 USA</t>
  </si>
  <si>
    <t>Smith, KP (corresponding author), 411 Borlaug Hall,1991 Upper Buford Circle, St Paul, MN 55108 USA.</t>
  </si>
  <si>
    <t>Smith, Kevin/0000-0001-8253-3326; Neyhart, Jeffrey/0000-0002-1991-5310</t>
  </si>
  <si>
    <t>U.S. Wheat and Barley Scab Initiative; Minnesota Department of Agriculture; Brewers Association; American Malting Barley Association; USDA-NIFA [2018-67011-28075]; Rahr Malting Company</t>
  </si>
  <si>
    <t>U.S. Wheat and Barley Scab Initiative(United States Department of Agriculture (USDA)); Minnesota Department of Agriculture; Brewers Association; American Malting Barley Association; USDA-NIFA(United States Department of Agriculture (USDA)); Rahr Malting Company</t>
  </si>
  <si>
    <t>We thank Ed Schiefelbein, Guillermo Velasquez, and Karen Beaubien for technical support during population development, phenotypic data collection, and genotyping. Thanks go to Ruth Dill-Macky for supplying F. graminearum inoculum for St. Paul and to Madeline Smith and Joseph Wodarek for managing the FHB trial in Crookston, MN. We are grateful to Austin Case, Jo Heuschele, John Hill Price, Ian McNish, Becky Zhong, and Alexander Susko for assistance and encouragement. Resources from the Minnesota Supercomputing Institute were used to complete this project. This research was supported by the U.S. Wheat and Barley Scab Initiative, the Minnesota Department of Agriculture, Rahr Malting Company, the Brewers Association, the American Malting Barley Association, and USDA-NIFA Grant #2018-67011-28075.</t>
  </si>
  <si>
    <t>10.1534/g3.119.400406</t>
  </si>
  <si>
    <t>JD7HF</t>
  </si>
  <si>
    <t>WOS:000490151100010</t>
  </si>
  <si>
    <t>Technow, F; Totir, LR</t>
  </si>
  <si>
    <t>Technow, Frank; Totir, L. Radu</t>
  </si>
  <si>
    <t>Using Bayesian Multilevel Whole Genome Regression Models for Partial Pooling of Training Sets in Genomic Prediction</t>
  </si>
  <si>
    <t>genomic selection; GenPred; shared data resource; genomic prediction; data pooling; Bayesian whole-genome regression; multilevel models; multiple populations</t>
  </si>
  <si>
    <t>MAIZE HYBRID PERFORMANCE; QUANTITATIVE TRAIT LOCI; DAIRY-CATTLE BREEDS; GENETIC ARCHITECTURE; BLIGHT RESISTANCE; HETEROTIC GROUPS; SELECTION; POPULATIONS; ACCURACY; ASSOCIATION</t>
  </si>
  <si>
    <t>Training set size is an important determinant of genomic prediction accuracy. Plant breeding programs are characterized by a high degree of structuring, particularly into populations. This hampers the establishment of large training sets for each population. Pooling populations increases training set size but ignores unique genetic characteristics of each. A possible solution is partial pooling with multilevel models, which allows estimating population-specific marker effects while still leveraging information across populations. We developed a Bayesian multilevel whole-genome regression model and compared its performance with that of the popular BayesA model applied to each population separately (no pooling) and to the joined data set (complete pooling). As an example, we analyzed a wide array of traits from the nested association mapping maize population. There we show that for small population sizes (e.g., &lt;50), partial pooling increased prediction accuracy over no or complete pooling for populations represented in the training set. No pooling was superior; however, when populations were large. In another example data set of interconnected biparental maize populations either partial or complete pooling was superior, depending on the trait. A simulation showed that no pooling is superior when differences in genetic effects among populations are large and partial pooling when they are intermediate. With small differences, partial and complete pooling achieved equally high accuracy. For prediction of new populations, partial and complete pooling had very similar accuracy in all cases. We conclude that partial pooling with multilevel models can maximize the potential of pooling by making optimal use of information in pooled training sets.</t>
  </si>
  <si>
    <t>[Technow, Frank; Totir, L. Radu] DuPont Pioneer, Johnston, IA 50131 USA</t>
  </si>
  <si>
    <t>Technow, F (corresponding author), DuPont Pioneer, 8305 NW 62nd Ave, Johnston, IA 50131 USA.</t>
  </si>
  <si>
    <t>Frank.Technow@pioneer.com</t>
  </si>
  <si>
    <t>Technow, Frank/AAC-4994-2019</t>
  </si>
  <si>
    <t>Technow, Frank/0000-0002-2497-3136</t>
  </si>
  <si>
    <t>AUG 1</t>
  </si>
  <si>
    <t>10.1534/g3.115.019299</t>
  </si>
  <si>
    <t>CO6KO</t>
  </si>
  <si>
    <t>WOS:000359265800007</t>
  </si>
  <si>
    <t>Wu, PY; Stich, B; Renner, J; Muders, K; Prigge, V; van Inghelandt, D</t>
  </si>
  <si>
    <t>Wu, Po-Ya; Stich, Benjamin; Renner, Juliane; Muders, Katja; Prigge, Vanessa; van Inghelandt, Delphine</t>
  </si>
  <si>
    <t>Optimal implementation of genomic selection in clone breeding programs-Exemplified in potato: I. Effect of selection strategy, implementation stage, and selection intensity on short-term genetic gain</t>
  </si>
  <si>
    <t>PREDICTION; MAIZE; WHEAT; LINE</t>
  </si>
  <si>
    <t>Genomic selection (GS) is used in many animal and plant breeding programs to enhance genetic gain for complex traits. However, its optimal integration in clone breeding programs, for example potato, that up to now relied on phenotypic selection (PS) requires further research. In this study, we performed computer simulations based on an empirical genomic dataset of tetraploid potato to (i) investigate under a fixed budget how the weight of GS relative to PS, the stage of implementing GS, the correlation between an auxiliary trait and the target trait, the variance components, and the prediction accuracy affect the genetic gain of the target trait, (ii) determine the optimal allocation of resources maximizing the genetic gain of the target trait, and (iii) make recommendations to breeders how to implement GS in clone and especially potato breeding programs. In our simulation results, any selection strategy involving GS had a higher short-term genetic gain for the target trait than Standard-PS. In addition, we showed that implementing GS in consecutive selection stages can largely enhance short-term genetic gain and recommend the breeders to implement GS at single hills and A clone stages. Furthermore, we observed for selection strategies involving GS that the optimal allocation of resources maximizing the genetic gain of the target trait differed considerably from those typically used in potato breeding programs and, thus, require the adjustment of the selection and phenotyping intensities. The trends are described in our study. Therefore, our study provides new insight for breeders regarding how to optimally implement GS in a commercial potato breeding program to improve the short-term genetic gain for their target trait.</t>
  </si>
  <si>
    <t>[Wu, Po-Ya; Stich, Benjamin; van Inghelandt, Delphine] Heinrich Heine Univ, Inst Quant Genet &amp; Genom Plants, Dusseldorf, Germany; [Stich, Benjamin] Heinrich Heine Univ, Cluster Excellence Plant Sci CEPLAS, Dusseldorf, Germany; [Stich, Benjamin] Max Planck Inst Plant Breeding Res, Cologne, Germany; [Renner, Juliane] Bohm Nordkartoffel Agrarprod GmbH &amp; Co OHG, Hohenmocker, Germany; [Muders, Katja] NORIKA GmbH, Sanitz, Germany; [Prigge, Vanessa] SaKa Pflanzenzucht GmbH &amp; Co KG, Windeby, Germany; [van Inghelandt, Delphine] Heinrich Heine Univ, Inst Quant Genet &amp; Genom Plants, D-40225 Dusseldorf, Germany</t>
  </si>
  <si>
    <t>Heinrich Heine University Dusseldorf; University of Cologne; Heinrich Heine University Dusseldorf; Max Planck Society; Heinrich Heine University Dusseldorf</t>
  </si>
  <si>
    <t>van Inghelandt, D (corresponding author), Heinrich Heine Univ, Inst Quant Genet &amp; Genom Plants, Dusseldorf, Germany.;van Inghelandt, D (corresponding author), Heinrich Heine Univ, Inst Quant Genet &amp; Genom Plants, D-40225 Dusseldorf, Germany.</t>
  </si>
  <si>
    <t>inghelan@hhu.de</t>
  </si>
  <si>
    <t>Van Inghelandt, Delphine/LKM-0975-2024</t>
  </si>
  <si>
    <t>Stich, Benjamin/0000-0001-6791-8068; Van Inghelandt, Delphine/0000-0002-2819-843X; Wu, Po-Ya/0000-0002-7342-2867; /0000-0003-0810-873X</t>
  </si>
  <si>
    <t>Fachagentur Nachwachsende Rohstoffe [22011818]</t>
  </si>
  <si>
    <t>Fachagentur Nachwachsende Rohstoffe</t>
  </si>
  <si>
    <t>Fachagentur Nachwachsende Rohstoffe, Grant/Award Number: 22011818</t>
  </si>
  <si>
    <t>10.1002/tpg2.20327</t>
  </si>
  <si>
    <t>MAY 2023</t>
  </si>
  <si>
    <t>K2DX5</t>
  </si>
  <si>
    <t>WOS:000986376300001</t>
  </si>
  <si>
    <t>Lawlor, DW</t>
  </si>
  <si>
    <t>Omasa, K; Nouchi, I; DeKok, LJ</t>
  </si>
  <si>
    <t>Lawlor, David W.</t>
  </si>
  <si>
    <t>Plant responses to climate change: impacts and adaptation</t>
  </si>
  <si>
    <t>Plant Responses to Air Pollution and Global Change</t>
  </si>
  <si>
    <t>6th International Symposium on Plant Responses to Air Pollution and Global Changes</t>
  </si>
  <si>
    <t>OCT 19-22, 2004</t>
  </si>
  <si>
    <t>Tsukuba, JAPAN</t>
  </si>
  <si>
    <t>carbon dioxide; temperature; climate change; plants; crops</t>
  </si>
  <si>
    <t>ATMOSPHERIC CO2 CONCENTRATION; ELEVATED CO2; TEMPERATURE; GROWTH; YIELD</t>
  </si>
  <si>
    <t>Pre-industrial global atmospheric carbon dioxide (CO2) concentration (Ca), was ca. 280 mu l l(-1), is now 376 mu l l(-1) and may be 700 mu l l(-1) by 2100. Temperature is now ca. 0.6 degrees C greater than pre-industrially, and may be ca. 4 degrees C greater by 2100. Warming is decreasing frost, snow and ice cover. Rain may increase in some areas, particularly high latitudes, but decrease in others. Also cloud, and therefore solar radiation reaching vegetation, will change. Agriculture must adapt to such changes, which affect crop growth, yield, and pests and diseases. Stimulation of yields of cereals, sugar beet, potatoes, pastures and forests by ca. 20-30% is expected with Ca of 700 mu l l(-1). This results from increased photosynthesis. However, heat speeds respiration and crop development, shortening the growing season and thus limiting yield; a 4 degrees C rise decreases dry matter by ca 20-30% in cereals and 20% in sugar beet. Quality of products (N-content, types of proteins in grain, and sugar beet storage tissue) are also affected. The biochemical and physiological mechanisms responsible for these effects are discussed, emphasising crop interaction with environment, including nutrition and water. Rates of environmental change are very rapid, however technology including plant breeding - but probably not current genetic engineering methods - may allow adjustment. Socio-economic pressures (consumer demand, world trade etc) may affect agriculture more than climate change per se. Advanced simulation modelling, linked closely to agronomic and plant research, is required to assess the consequences of putative changes on such complex systems.</t>
  </si>
  <si>
    <t>Rothamsted Res, Crop Performance &amp; Improvement Div, Harpenden AL5 2JQ, Herts, England</t>
  </si>
  <si>
    <t>UK Research &amp; Innovation (UKRI); Biotechnology and Biological Sciences Research Council (BBSRC); Rothamsted Research</t>
  </si>
  <si>
    <t>Lawlor, DW (corresponding author), Rothamsted Res, Crop Performance &amp; Improvement Div, Harpenden AL5 2JQ, Herts, England.</t>
  </si>
  <si>
    <t>SPRINGER-VERLAG TOKYO</t>
  </si>
  <si>
    <t>37-3, HONGO 3-CHOME BONKYO-KU, TOKYO, 113, JAPAN</t>
  </si>
  <si>
    <t>4-431-31013-4</t>
  </si>
  <si>
    <t>10.1007/4-431-31014-2_10</t>
  </si>
  <si>
    <t>Plant Sciences; Environmental Sciences &amp; Ecology</t>
  </si>
  <si>
    <t>BEX69</t>
  </si>
  <si>
    <t>WOS:000240025800010</t>
  </si>
  <si>
    <t>Winn, CA; Archontoulis, S; Edwards, J</t>
  </si>
  <si>
    <t>Winn, Cassandra Anne; Archontoulis, Sotirios; Edwards, Jode</t>
  </si>
  <si>
    <t>Calibration of a crop growth model in APSIM for 15 publicly available corn hybrids in North America</t>
  </si>
  <si>
    <t>ZEA-MAYS L.; MAIZE SIMULATION-MODEL; SUMMER MAIZE; GENETIC COEFFICIENTS; LEAF APPEARANCE; USE EFFICIENCY; GRAIN-YIELD; SOIL-WATER; NITROGEN; PERFORMANCE</t>
  </si>
  <si>
    <t>Application of crop growth models (CGMs) in plant breeding is limited by the large number of candidate cultivars that breeders work with and the large number of CGM parameters that affect cultivar performance. The objectives of this study were to (1) calibrate 15 publicly available maize hybrids in Agricultural Production Systems sIMulator and quantify prediction accuracy in modeling physiological trait differences (yield, biomass, phenology, etc.) among genotypes; (2) better understand minimum phenotypic data requirements for CGM cultivar calibration to inform breeding efforts; and (3) quantify simulated genotype by environment interactions (G x E) across years for five traits. We calibrated hybrids with two years of multi-trait, temporal field measurements. The R-2 of simulated versus observed phenotypes was 0.89 for grain yield and over 0.80 for half of all other simulated traits. Phenology parameters accounted for nearly half of the variability in grain yield. Average (across traits) normalized root mean square error was reduced from 35% to 30% with calibration based on phenological measurements and was reduced to 20% with inclusion of physiological and nitrogen-related measurements such as radiation use efficiency and grain nitrogen. Long-term simulations demonstrated distinct G x E among the hybrids which accounted for 2%-29% of the total genetic variation across traits. Parameter values derived in this work will provide insight regarding important physiological traits for further phenotyping, selection, and understanding of G x E. These calibrations are for publicly available hybrids, which are currently lacking.</t>
  </si>
  <si>
    <t>[Winn, Cassandra Anne] Benson Hill Inc, St Louis, MO USA; [Archontoulis, Sotirios] Iowa State Univ, Dept Agron, Ames, IA USA; [Edwards, Jode] USDA ARS, Corn Insects &amp; Crop Genet Res Unit, 716 Farmhouse Ln, Ames, IA 50011 USA</t>
  </si>
  <si>
    <t>Iowa State University; United States Department of Agriculture (USDA)</t>
  </si>
  <si>
    <t>Edwards, J (corresponding author), USDA ARS, Corn Insects &amp; Crop Genet Res Unit, 716 Farmhouse Ln, Ames, IA 50011 USA.</t>
  </si>
  <si>
    <t>jode.edwards@usda.gov</t>
  </si>
  <si>
    <t>Archontoulis, Sotirios/0000-0001-7595-8107; Edwards, Jode/0000-0001-7918-476X</t>
  </si>
  <si>
    <t>Foundation for Food and Agriculture Research [534264]; Division of Civil, Mechanical and Manufacturing Innovation [1830478]; Division of Integrative Organismal Systems [1842097]; Agricultural Research Service [5030-21000-066-00D]; Cooperative State Research, Education, and Extension Service [IOW04614, IOW10480]; Division of Graduate Education [1545453]; National Institute of Food and Agriculture [2017-67013-26463]; Direct For Biological Sciences; Division Of Integrative Organismal Systems [1842097] Funding Source: National Science Foundation; Division Of Graduate Education; Direct For Education and Human Resources [1545453] Funding Source: National Science Foundation; Div Of Civil, Mechanical, &amp; Manufact Inn; Directorate For Engineering [1830478] Funding Source: National Science Foundation</t>
  </si>
  <si>
    <t>Foundation for Food and Agriculture Research; Division of Civil, Mechanical and Manufacturing Innovation(National Science Foundation (NSF)NSF - Directorate for Engineering (ENG)); Division of Integrative Organismal Systems(National Science Foundation (NSF)NSF - Directorate for Biological Sciences (BIO)NSF - Division of Integrative Organismal Systems (IOS)); Agricultural Research Service(United States Department of Agriculture (USDA)USDA Agricultural Research Service); Cooperative State Research, Education, and Extension Service(United States Department of Agriculture (USDA)National Institute of Food &amp; Agriculture); Division of Graduate Education(National Science Foundation (NSF)NSF - Directorate for STEM Education (EDU)); National Institute of Food and Agriculture(United States Department of Agriculture (USDA)National Institute of Food &amp; Agriculture); Direct For Biological Sciences; Division Of Integrative Organismal Systems(National Science Foundation (NSF)NSF - Directorate for Biological Sciences (BIO)NSF - Division of Integrative Organismal Systems (IOS)); Division Of Graduate Education; Direct For Education and Human Resources(National Science Foundation (NSF)NSF - Directorate for STEM Education (EDU)); Div Of Civil, Mechanical, &amp; Manufact Inn; Directorate For Engineering(National Science Foundation (NSF)NSF - Directorate for Engineering (ENG))</t>
  </si>
  <si>
    <t>Foundation for Food and Agriculture Research, Grant/Award Number: 534264; Division of Civil, Mechanical and Manufacturing Innovation, Grant/Award Number: 1830478; Division of Integrative Organismal Systems, Grant/Award Number: 1842097; Agricultural Research Service, Grant/Award Number: 5030-21000-066-00D; Cooperative State Research, Education, and Extension Service, Grant/Award Numbers: IOW04614, IOW10480; Division of Graduate Education, Grant/Award Number: 1545453; National Institute of Food and Agriculture, Grant/Award Number: 2017-67013-26463</t>
  </si>
  <si>
    <t>10.1002/csc2.20857</t>
  </si>
  <si>
    <t>FEB 2023</t>
  </si>
  <si>
    <t>D8QG0</t>
  </si>
  <si>
    <t>WOS:000922484600001</t>
  </si>
  <si>
    <t>Ly, D; Chenu, K; Gauffreteau, A; Rincent, R; Huet, S; Gouache, D; Martre, P; Bordes, J; Charmet, G</t>
  </si>
  <si>
    <t>Ly, Delphine; Chenu, Karine; Gauffreteau, Arnaud; Rincent, Renaud; Huet, Sylvie; Gouache, David; Martre, Pierre; Bordes, Jacques; Charmet, Gilles</t>
  </si>
  <si>
    <t>Nitrogen nutrition index predicted by a crop model improves the genomic prediction of grain number for a bread wheat core collection</t>
  </si>
  <si>
    <t>Crop model; Environment characterization; Nitrogen stress; Wheat; Genomic prediction; Genotype-by-environment interactions</t>
  </si>
  <si>
    <t>MARKER-ASSISTED SELECTION; X ENVIRONMENT INTERACTION; TRITICUM-AESTIVUM L.; USE EFFICIENCY; VARIETY TRIALS; WATER-DEFICIT; GENOTYPE; YIELD; DROUGHT; SIMULATION</t>
  </si>
  <si>
    <t>In plant breeding, one of the major challenges of genomic selection is to account for genotype-by-environment (G x E) interactions, and more specifically how varieties are adapted to various environments. Crop growth models (CGM) were developed to model the response of plants to environmental conditions. They can be used to characterize eco-physiological stresses in relation to crop growth and developmental stages, and thereby help to dissect G x E interactions. Our study aims at demonstrating how environment characterization using crop models can be integrated to improve both the understanding and the genomic predictions of G x E interactions. We evaluated the usefulness of using CGM to characterize environments by comparing basic and CGM-based stress indicators, to assess how much of the G x E interaction can be explained and whether gains in prediction accuracy can be made. We carried out a case study in wheat (Triticurn aestivum) to model nitrogen stress in a CGM in 12 environments defined by year x location x nitrogen treatment. Interactions between 194 varieties of a core collection and these 12 different nitrogen conditions were examined by analyzing grain number. We showed that (i) CGM based indicators captured the G x E interactions better than basic indicators and that (ii) genomic predictions were slightly improved by modeling the genomic interaction with the crop model based characterization of nitrogen stress. A framework was proposed to integrate crop model environment characterization into genomic predictions. We describe how this characterization promises to improve the prediction accuracy of adaptation to environmental stresses.</t>
  </si>
  <si>
    <t>[Ly, Delphine; Rincent, Renaud; Bordes, Jacques; Charmet, Gilles] UCA, INRA, UMR GDEC, 5 Chemin Beaulieu, F-63000 Clermont Ferrand, France; [Chenu, Karine] Univ Queensland, QAAFI, 203 Tor St, Toowoomba, Qld 4350, Australia; [Gauffreteau, Arnaud] INRA, UMR Agron, Thiverval Grignon, France; [Huet, Sylvie] INRA, MAIAGE Appl Math Comp Sci, Jouy En Josas, France; [Gouache, David] Terres Inovia Inst Tech Oleagineux Proteagineux &amp;, F-75378 Paris, France; [Martre, Pierre] Montpellier Supagro, INRA, UMR LEPSE, Montpellier, France</t>
  </si>
  <si>
    <t>INRAE; University of Queensland; AgroParisTech; Universite Paris Saclay; INRAE; Universite Paris Saclay; INRAE; INRAE; Institut Agro; Montpellier SupAgro</t>
  </si>
  <si>
    <t>Charmet, G (corresponding author), INRA UMR GDEC, 5 Chemin Beaulieu, F-63000 Clermont Ferrand, France.</t>
  </si>
  <si>
    <t>gilles.charmet@inra.fr</t>
  </si>
  <si>
    <t>Gouache, David/AAX-2128-2020; Martre, Pierre/AAB-5118-2019; Rincent, Renaud/ACR-2023-2022; Chenu, Karine/A-8967-2009; Martre, Pierre/M-5282-2013</t>
  </si>
  <si>
    <t>Chenu, Karine/0000-0001-7273-2057; Martre, Pierre/0000-0002-7419-6558; Rincent, Renaud/0000-0003-0885-0969</t>
  </si>
  <si>
    <t>Enterprise Competitiveness Fund Project Semences de Demain; INRA metaprogram SELGEN; Auvergne Region</t>
  </si>
  <si>
    <t>Enterprise Competitiveness Fund Project Semences de Demain; INRA metaprogram SELGEN; Auvergne Region(Region Auvergne-Rhone-Alpes)</t>
  </si>
  <si>
    <t>The experimental work was partly supported by the Enterprise Competitiveness Fund Project Semences de Demain. This work was funded by the INRA metaprogram SELGEN and the Auvergne Region through funding to DL during her PhD.</t>
  </si>
  <si>
    <t>10.1016/j.fcr.2017.09.024</t>
  </si>
  <si>
    <t>FM0AT</t>
  </si>
  <si>
    <t>WOS:000414621900034</t>
  </si>
  <si>
    <t>Anothai, J; Patanothai, A; Pannangpetch, K; Jogloy, S; Boote, KJ; Hoogenboom, G</t>
  </si>
  <si>
    <t>Anothai, J.; Patanothai, A.; Pannangpetch, K.; Jogloy, S.; Boote, K. J.; Hoogenboom, G.</t>
  </si>
  <si>
    <t>Reduction in data collection for determination of cultivar coefficients for breeding applications</t>
  </si>
  <si>
    <t>AGRICULTURAL SYSTEMS</t>
  </si>
  <si>
    <t>cultivar coefficients; breeding lines; model calibration; model evaluation; CSM-CROPGRO-Peanut; Decision Support System for Agrotechnology Transfer</t>
  </si>
  <si>
    <t>GENETIC COEFFICIENTS; SIMULATION-MODELS; PEANUT LINES; YIELD; PERFORMANCE; PNUTGRO</t>
  </si>
  <si>
    <t>Plant breeding applications of crop simulation models require cultivar coefficients of new breeding lines. These cultivar coefficients are normally estimated from field experiments conducted under optimum conditions over several environments with elaborate data collection for each line throughout its life cycle. Such an intensive sampling scheme poorly applies to breeding lines at the early testing stages, because the number of lines is large and seed supply is limited. The objective of this study was to determine the minimum data to be collected for the estimation of cultivar coefficients of peanut lines for breeding applications of the CSM-CROPGRO-Peanut model. Nine peanut lines varying in maturity were selected for this study. Data on plant growth and development stages of these lines that were collected following the recommended procedure were obtained from a previous study. These data were used in a stepwise procedure to determine the minimum plant characteristics required for deriving the cultivar coefficients. This included both the intensity of data collection as well as the type of phenological and growth characteristics. The full versus partial data sets were then used for model calibration to derive the cultivar coefficients and an independent data set was used for model evaluation. The results showed that (i) different types of reduced phenological data resulted in the same values of the cultivar coefficients; (ii) cultivar coefficients derived from some reduced growth data sets were as good as those derived from full data collection; (iii) model calibration of cultivar coefficients derived from various types of reduced data collection worked well for all development characteristics and fairly well for the normalized root mean square error (RMSEn) values of the plant growth characteristics; and (iv) model evaluation showed good agreements between observed and simulated values for all growth and development characteristics. These results showed that it is possible to reduce the data collection for cultivar coefficients determination. The minimum data suggested is to determine two developmental stages, i.e., first flowering (RI) and harvest maturity (R8), and three plant samplings for growth analysis, i.e., around the stages of full seed (R6), physiological maturity (R7) and harvest maturity (R8). (C) 2007 Elsevier Ltd. All rights reserved.</t>
  </si>
  <si>
    <t>[Anothai, J.; Patanothai, A.; Pannangpetch, K.; Jogloy, S.] Khon Kaen Univ, Fac Agr, Dept Plant Sci &amp; Agr Resources, Khon Kaen 40002, Thailand; [Boote, K. J.] Univ Florida, Dept Agron, Gainesville, FL 32611 USA; [Hoogenboom, G.] Univ Georgia, Dept Biol &amp; Agr Engn, Griffin, GA 30223 USA</t>
  </si>
  <si>
    <t>Khon Kaen University; State University System of Florida; University of Florida; University System of Georgia; University of Georgia</t>
  </si>
  <si>
    <t>Patanothai, A (corresponding author), Khon Kaen Univ, Fac Agr, Dept Plant Sci &amp; Agr Resources, Khon Kaen 40002, Thailand.</t>
  </si>
  <si>
    <t>ELSEVIER SCI LTD</t>
  </si>
  <si>
    <t>THE BOULEVARD, LANGFORD LANE, KIDLINGTON, OXFORD OX5 1GB, OXON, ENGLAND</t>
  </si>
  <si>
    <t>0308-521X</t>
  </si>
  <si>
    <t>1873-2267</t>
  </si>
  <si>
    <t>AGR SYST</t>
  </si>
  <si>
    <t>Agric. Syst.</t>
  </si>
  <si>
    <t>10.1016/j.agsy.2007.08.002</t>
  </si>
  <si>
    <t>260PB</t>
  </si>
  <si>
    <t>WOS:000253021100017</t>
  </si>
  <si>
    <t>Robertson, MJ; Carberry, PS; Wright, GC; Singh, DP</t>
  </si>
  <si>
    <t>Knight, R</t>
  </si>
  <si>
    <t>Using models to assess the value of traits of food legumes from a cropping systems perspective</t>
  </si>
  <si>
    <t>LINKING RESEARCH AND MARKETING OPPORTUNITIES FOR PULSES IN THE 21ST CENTURY</t>
  </si>
  <si>
    <t>CURRENT PLANT SCIENCE AND BIOTECHNOLOGY IN AGRICULTURE</t>
  </si>
  <si>
    <t>3rd International Food Legumes Research Conference (IFLRC III)</t>
  </si>
  <si>
    <t>SEP 22-26, 1998</t>
  </si>
  <si>
    <t>ADELAIDE, AUSTRALIA</t>
  </si>
  <si>
    <t>PHASEOLUS-VULGARIS; WATER-STRESS; SEED YIELD; DROUGHT; PRODUCTIVITY; ADAPTATION; ENVIRONMENTS; IMPROVEMENT; EFFICIENCY; SIMULATION</t>
  </si>
  <si>
    <t>Plant breeders spend considerable time, effort and expense in conceptualizing and selecting for improved plant types. Given the climatic variability and diverse management practices in different regions to which crops are exposed, different plant types may be needed For different agro-ecological zones. By capturing physiological understanding in a predictive framework, crop modelling offers the potential to interpret and predict the performance of individual genotypes in different environments, thus offering a possible decision support role in plant breeding. We propose that, when considering the adaptation of food legumes to the environments in which they are growing, the impact on the whole system should evaluated, including the N economy of the cropping system and impacts on the productivity of associated crops. We present some case studies of the use of static analytical models and simulation to evaluate traits in food legumes, from a cropping systems perspective. In one case study we show that the yield difference between determinate and indeterminate soybean types in this semi-arid environment will depend upon interactions between seasonal conditions, flowering date and starting soil water, which models can assist in analysing. Conducting analyses over the climatic record also allows any yield advantage to be assessed against the impact on the riskiness of production. In another study, we highlight the interaction between agronomic management (such as row spacing) and the performance of cowpea genotypes differing in height and leaf posture when grown as intercrops with maize. In a third case study we address the question of the impact of chickpea genotypes differing in potential N fixation on system performance of a chickpea-wheat rotation under dryland conditions. The results show the trade-off between the gains or losses in chickpea and wheat yields by introducing chickpea with different traits into the rotation. In summary, the case studies are intended to demonstrate that breeding objectives often need to incorporate the impact of altered plant traits beyond the yield of the targeted crop and the interaction of management and climate on the differential performance of genotypes. This is particularly the case for food legume crops which are typically grown as important components of crop rotations.</t>
  </si>
  <si>
    <t>CSIRO Trop Agr, Agr Prod Syst Res Unit, Toowoomba, Qld, Australia</t>
  </si>
  <si>
    <t>CSIRO Trop Agr, Agr Prod Syst Res Unit, Toowoomba, Qld, Australia.</t>
  </si>
  <si>
    <t>Carberry, Peter/B-9768-2008; Robertson, Michael/G-1418-2010</t>
  </si>
  <si>
    <t>0924-1949</t>
  </si>
  <si>
    <t>0-7923-5565-2</t>
  </si>
  <si>
    <t>CURR PLANT SCI BIOT</t>
  </si>
  <si>
    <t>Curr. Plant Sci. Biotechnol. Agric.</t>
  </si>
  <si>
    <t>BP62B</t>
  </si>
  <si>
    <t>WOS:000085691300026</t>
  </si>
  <si>
    <t>Xiang, T; Christensen, OF; Vitezica, ZG; Legarra, A</t>
  </si>
  <si>
    <t>Xiang, Tao; Christensen, Ole Fredslund; Vitezica, Zulma Gladis; Legarra, Andres</t>
  </si>
  <si>
    <t>Genomic Model with Correlation Between Additive and Dominance Effects</t>
  </si>
  <si>
    <t>genomic model; additive genetic effects; dominance genetic effects; correlation; shared data resource; GenPred; Genomic Selection</t>
  </si>
  <si>
    <t>QUANTITATIVE TRAITS; GENETIC VARIANCE; MILK-PRODUCTION; COVARIANCE; SELECTION; PEDIGREE; LINES</t>
  </si>
  <si>
    <t>Dominance genetic effects are rarely included in pedigree-based genetic evaluation. With the availability of single nucleotide polymorphism markers and the development of genomic evaluation, estimates of dominance genetic effects have become feasible using genomic best linear unbiased prediction (GBLUP). Usually, studies involving additive and dominance genetic effects ignore possible relationships between them. It has been often suggested that the magnitude of functional additive and dominance effects at the quantitative trait loci are related, but there is no existing GBLUP-like approach accounting for such correlation. Wellmann and Bennewitz (2012) showed two ways of considering directional relationships between additive and dominance effects, which they estimated in a Bayesian framework. However, these relationships cannot be fitted at the level of individuals instead of loci in a mixed model, and are not compatible with standard animal or plant breeding software. This comes from a fundamental ambiguity in assigning the reference allele at a given locus. We show that, if there has been selection, assigning the most frequent as the reference allele orients the correlation between functional additive and dominance effects. As a consequence, the most frequent reference allele is expected to have a positive value. We also demonstrate that selection creates negative covariance between genotypic additive and dominance genetic values. For parameter estimation, it is possible to use a combined additive and dominance relationship matrix computed from marker genotypes, and to use standard restricted maximum likelihood algorithms based on an equivalent model. Through a simulation study, we show that such correlations can easily be estimated by mixed model software and that the accuracy of prediction for genetic values is slightly improved if such correlations are used in GBLUP. However, a model assuming uncorrelated effects and fitting orthogonal breeding values and dominant deviations performed similarly for prediction.</t>
  </si>
  <si>
    <t>[Xiang, Tao] Huazhong Agr Univ, Coll Anim Sci &amp; Technol, Minist Educ, Key Lab Agr Anim Genet Breeding &amp; Reprod, Wuhan 430070, Hubei, Peoples R China; [Xiang, Tao] Huazhong Agr Univ, Coll Anim Sci &amp; Technol, Minist Agr, Key Lab Swine Genet &amp; Breeding, Wuhan 430070, Hubei, Peoples R China; [Xiang, Tao; Legarra, Andres] INRA, UMR GenPhySE 1388, F-31326 Castanet Tolosan, France; [Xiang, Tao; Christensen, Ole Fredslund] Aarhus Univ, Dept Mol Biol &amp; Genet, Ctr Quantitat Genet &amp; Genom, DK-8830 Tjele, Denmark; [Vitezica, Zulma Gladis] Univ Toulouse, UMR GenPhySE 1388, F-31326 Castanet Tolosan, France</t>
  </si>
  <si>
    <t>Huazhong Agricultural University; Huazhong Agricultural University; Ministry of Agriculture &amp; Rural Affairs; INRAE; Aarhus University; Universite de Toulouse</t>
  </si>
  <si>
    <t>Xiang, T (corresponding author), Huazhong Agr Univ, Coll Anim Sci &amp; Technol, Minist Educ, Key Lab Agr Anim Genet Breeding &amp; Reprod, Wuhan 430070, Hubei, Peoples R China.;Xiang, T (corresponding author), Huazhong Agr Univ, Coll Anim Sci &amp; Technol, Minist Agr, Key Lab Swine Genet &amp; Breeding, Wuhan 430070, Hubei, Peoples R China.;Xiang, T (corresponding author), INRA, UMR GenPhySE 1388, F-31326 Castanet Tolosan, France.;Xiang, T (corresponding author), Aarhus Univ, Dept Mol Biol &amp; Genet, Ctr Quantitat Genet &amp; Genom, DK-8830 Tjele, Denmark.;Xiang, T (corresponding author), Huazhong Agr Univ, Coll Anim Sci &amp; Technol, 1 Shizishan St, Wuhan 430070, Hubei, Peoples R China.</t>
  </si>
  <si>
    <t>Tao.Xiang@mail.hzau.edu.cn</t>
  </si>
  <si>
    <t>Legarra, Andres/AAW-2371-2021; Christensen, Ole F/HAF-7113-2022; Xiang, Tao/AAW-2873-2021; Legarra, Andres/G-9451-2012</t>
  </si>
  <si>
    <t>Legarra, Andres/0000-0001-8893-7620; Christensen, Ole Fredslund/0000-0002-8230-8062; Xiang, Tao/0000-0001-6134-2627</t>
  </si>
  <si>
    <t>Fundamental Research Funds for the Central Universities [2662018QD001]; center for Genomic Selection in Animals and Plants (GenSAP) - Danish Council for Strategic Research; INRA SelGen metaprogram project X-Gen; INRA SelGen metaprogram project SelDir</t>
  </si>
  <si>
    <t>Fundamental Research Funds for the Central Universities(Fundamental Research Funds for the Central Universities); center for Genomic Selection in Animals and Plants (GenSAP) - Danish Council for Strategic Research; INRA SelGen metaprogram project X-Gen; INRA SelGen metaprogram project SelDir</t>
  </si>
  <si>
    <t>T.X. was supported by the Fundamental Research Funds for the Central Universities (project number 2662018QD001). O.F.C. was supported by the center for Genomic Selection in Animals and Plants (GenSAP) funded by the Danish Council for Strategic Research. A.L. and Z.G.V. thank financing from INRA SelGen metaprogram projects X-Gen and SelDir. We are grateful to the genotoul bioinformatics platform Toulouse Midi-Pyrenees (Bio-info Genotoul) for providing computing resources. Useful comments from two anonymous reviewers are acknowledged.</t>
  </si>
  <si>
    <t>10.1534/genetics.118.301015</t>
  </si>
  <si>
    <t>GL4ZT</t>
  </si>
  <si>
    <t>WOS:000437171700007</t>
  </si>
  <si>
    <t>Cros, D; Sánchez, L; Cochard, B; Samper, P; Denis, M; Bouvet, JM; Fernández, J</t>
  </si>
  <si>
    <t>Cros, David; Sanchez, Leopoldo; Cochard, Benoit; Samper, Patrick; Denis, Marie; Bouvet, Jean-Marc; Fernandez, Jesus</t>
  </si>
  <si>
    <t>Estimation of genealogical coancestry in plant species using a pedigree reconstruction algorithm and application to an oil palm breeding population</t>
  </si>
  <si>
    <t>MARKER DATA; SIZE; CONSERVATION; RELATEDNESS; EFFICIENCY; PROGRAM; CROSSES</t>
  </si>
  <si>
    <t>Explicit pedigree reconstruction by simulated annealing gave reliable estimates of genealogical coancestry in plant species, especially when selfing rate was lower than 0.6, using a realistic number of markers. Genealogical coancestry information is crucial in plant breeding to estimate genetic parameters and breeding values. The approach of Fernandez and Toro (Mol Ecol 15:1657-1667, 2006) to estimate genealogical coancestries from molecular data through pedigree reconstruction was limited to species with separate sexes. In this study it was extended to plants, allowing hermaphroditism and monoecy, with possible selfing. Moreover, some improvements were made to take previous knowledge on the population demographic history into account. The new method was validated using simulated and real datasets. Simulations showed that accuracy of estimates was high with 30 microsatellites, with the best results obtained for selfing rates below 0.6. In these conditions, the root mean square error (RMSE) between the true and estimated genealogical coancestry was small (&lt; 0.07), although the number of ancestors was overestimated and the selfing rate could be biased. Simulations also showed that linkage disequilibrium between markers and departure from the Hardy-Weinberg equilibrium in the founder population did not affect the efficiency of the method. Real oil palm data confirmed the simulation results, with a high correlation between the true and estimated genealogical coancestry (&gt; 0.9) and a low RMSE (&lt; 0.08) using 38 markers. The method was applied to the Deli oil palm population for which pedigree data were scarce. The estimated genealogical coancestries were highly correlated (&gt; 0.9) with the molecular coancestries using 100 markers. Reconstructed pedigrees were used to estimate effective population sizes. In conclusion, this method gave reliable genealogical coancestry estimates. The strategy was implemented in the software MOLCOANC 3.0.</t>
  </si>
  <si>
    <t>[Cros, David; Cochard, Benoit; Samper, Patrick; Denis, Marie; Bouvet, Jean-Marc] CIRAD, Genet Improvement &amp; Adaptat Mediterranean &amp; Trop, F-34398 Montpellier 5, France; [Sanchez, Leopoldo] INRA, Forest Tree Improvement Genet &amp; Physiol Res Unit, F-45075 Orleans 2, France; [Fernandez, Jesus] INIA, Dept Mejora Genet Anim, Madrid 28040, Spain</t>
  </si>
  <si>
    <t>CIRAD; INRAE</t>
  </si>
  <si>
    <t>Cros, D (corresponding author), CIRAD, Genet Improvement &amp; Adaptat Mediterranean &amp; Trop, Int Campus Baillarguet,TA A-108-C, F-34398 Montpellier 5, France.</t>
  </si>
  <si>
    <t>david.cros@cirad.fr</t>
  </si>
  <si>
    <t>Fernandez, Jesus/H-4894-2015</t>
  </si>
  <si>
    <t>Fernandez, Jesus/0000-0001-8269-1893; Cros, David/0000-0002-8601-7991</t>
  </si>
  <si>
    <t>PalmElit SAS</t>
  </si>
  <si>
    <t>We would like to thank Virginie Pomies (CIRAD, Montpellier) for her technical assistance in genotyping, Dr Juan Pablo Gutierrez (Universidad Complutense de Madrid) for his help with ENDOG software and the anonymous reviewers for their helpful comments. This research was partly funded by a grant from PalmElit SAS.</t>
  </si>
  <si>
    <t>10.1007/s00122-014-2273-3</t>
  </si>
  <si>
    <t>AD6FZ</t>
  </si>
  <si>
    <t>WOS:000333353400018</t>
  </si>
  <si>
    <t>Della Coletta, R; Fernandes, SB; Monnahan, PJ; Mikel, MA; Bohn, MO; Lipka, AE; Hirsch, CN</t>
  </si>
  <si>
    <t>Della Coletta, Rafael; Fernandes, Samuel B.; Monnahan, Patrick J.; Mikel, Mark A.; Bohn, Martin O.; Lipka, Alexander E.; Hirsch, Candice N.</t>
  </si>
  <si>
    <t>Importance of genetic architecture in marker selection decisions for genomic prediction</t>
  </si>
  <si>
    <t>Simulation; Structural variation; Plant breeding; Genotype-by-environment; Maize</t>
  </si>
  <si>
    <t>COPY NUMBER VARIATION; HYBRID PERFORMANCE; MAIZE; TOLERANCE; ASSOCIATION; RESISTANCE; GENOTYPE; IMPACT</t>
  </si>
  <si>
    <t>Key messageWe demonstrate potential for improved multi-environment genomic prediction accuracy using structural variant markers. However, the degree of observed improvement is highly dependent on the genetic architecture of the trait.AbstractBreeders commonly use genetic markers to predict the performance of untested individuals as a way to improve the efficiency of breeding programs. These genomic prediction models have almost exclusively used single nucleotide polymorphisms (SNPs) as their source of genetic information, even though other types of markers exist, such as structural variants (SVs). Given that SVs are associated with environmental adaptation and not all of them are in linkage disequilibrium to SNPs, SVs have the potential to bring additional information to multi-environment prediction models that are not captured by SNPs alone. Here, we evaluated different marker types (SNPs and/or SVs) on prediction accuracy across a range of genetic architectures for simulated traits across multiple environments. Our results show that SVs can improve prediction accuracy, but it is highly dependent on the genetic architecture of the trait and the relative gain in accuracy is minimal. When SVs are the only causative variant type, 70% of the time SV predictors outperform SNP predictors. However, the improvement in accuracy in these instances is only 1.5% on average. Further simulations with predictors in varying degrees of LD with causative variants of different types (e.g., SNPs, SVs, SNPs and SVs) showed that prediction accuracy increased as linkage disequilibrium between causative variants and predictors increased regardless of the marker type. This study demonstrates that knowing the genetic architecture of a trait in deciding what markers to use in large-scale genomic prediction modeling in a breeding program is more important than what types of markers to use.</t>
  </si>
  <si>
    <t>[Della Coletta, Rafael; Monnahan, Patrick J.; Hirsch, Candice N.] Univ Minnesota, Dept Agron &amp; Plant Genet, St Paul, MN 55108 USA; [Fernandes, Samuel B.] Univ Arkansas, Dept Crop Soil &amp; Environm Sci, Fayetteville, AR 72701 USA; [Mikel, Mark A.; Bohn, Martin O.; Lipka, Alexander E.] Univ Illinois, Dept Crop Sci, Urbana, IL 61801 USA; [Mikel, Mark A.] Univ Illinois, Roy J Carver Biotechnol Ctr, Urbana, IL 61801 USA</t>
  </si>
  <si>
    <t>University of Minnesota System; University of Minnesota Twin Cities; University of Arkansas System; University of Arkansas Fayetteville; University of Illinois System; University of Illinois Urbana-Champaign; University of Illinois System; University of Illinois Urbana-Champaign</t>
  </si>
  <si>
    <t>Hirsch, CN (corresponding author), Univ Minnesota, Dept Agron &amp; Plant Genet, St Paul, MN 55108 USA.</t>
  </si>
  <si>
    <t>cnhirsch@umn.edu</t>
  </si>
  <si>
    <t>Della Coletta, Rafael/AAX-9392-2021; Fernandes, Samuel/AFA-9552-2022; Bohn, Martin/AAW-4043-2020</t>
  </si>
  <si>
    <t>Hirsch, Candice/0000-0002-8833-3023; Della Coletta, Rafael/0000-0001-6988-9598</t>
  </si>
  <si>
    <t>United States Department of Agriculture [2018-67013-27571]; National Science Foundation [IOS-1546727]; Minnesota Agricultural Experiment Station; University of Minnesota MnDRIVE Global Food Ventures Graduate Fellowship; University of Minnesota Doctoral Dissertation Fellowship</t>
  </si>
  <si>
    <t>United States Department of Agriculture(United States Department of Agriculture (USDA)); National Science Foundation(National Science Foundation (NSF)); Minnesota Agricultural Experiment Station; University of Minnesota MnDRIVE Global Food Ventures Graduate Fellowship; University of Minnesota Doctoral Dissertation Fellowship(University of Minnesota System)</t>
  </si>
  <si>
    <t>This work was supported by the United States Department of Agriculture (2018-67013-27571), the National Science Foundation (IOS-1546727), and the Minnesota Agricultural Experiment Station. RDC was supported by the University of Minnesota MnDRIVE Global Food Ventures Graduate Fellowship and the University of Minnesota Doctoral Dissertation Fellowship.</t>
  </si>
  <si>
    <t>10.1007/s00122-023-04469-w</t>
  </si>
  <si>
    <t>KP6G0</t>
  </si>
  <si>
    <t>WOS:001181203400001</t>
  </si>
  <si>
    <t>Kuchel, H; Fox, R; Reinheimer, J; Mosionek, L; Willey, N; Bariana, H; Jefferies, S</t>
  </si>
  <si>
    <t>Kuchel, Haydn; Fox, Rebecca; Reinheimer, Jason; Mosionek, Lee; Willey, Nicholas; Bariana, Harbans; Jefferies, Stephen</t>
  </si>
  <si>
    <t>The successful application of a marker-assisted wheat breeding strategy</t>
  </si>
  <si>
    <t>dough quality; glutenin; marker-assisted selection; plant breeding; rust resistance; Triticum aestivum</t>
  </si>
  <si>
    <t>RUST RESISTANCE GENES; MOLECULAR MARKERS; SELECTION; INTROGRESSION; LOCATION; SUBUNITS; QUALITY; GENOME</t>
  </si>
  <si>
    <t>A number of useful marker-trait associations have been reported for wheat. However the number of publications detailing the integrated and pragmatic use of molecular markers in wheat breeding is limited. A previous report by some of these authors showed how marker-assisted selection could increase the genetic gain and economic efficiency of a specific breeding strategy. Here, we present a practical validation of that study. The target of this breeding strategy was to produce wheat lines derived from an elite Australian cultivar `Stylet', with superior dough properties and durable rust resistance donated from `Annuello'. Molecular markers were used to screen a BC1F1 population produced from a cross between the recurrent parent `Stylet' and the donor parent `Annuello' for the presence of rust resistance genes Lr34/Yr18 and Lr46/Yr29. Following this, marker-assisted selection was applied to haploid plants, prior to chromosome doubling with cochicine, for the rust resistance genes Lr24/Sr24, Lr34/Yr18, height reducing genes, and for the grain protein genes Glu-D1 and Glu-A3. In general, results from this study agreed with those of the simulation study. Genetic improvement for rust resistance was greatest when marker selection was applied on BC1F1 individuals. Introgression of both the Lr34/Yr18 and Lr46/Yr29 loci into the susceptible recurrent parent background resulted in substantial improvement in leaf rust and stripe rust resistance levels. Selection for favourable glutenin alleles significantly improved dough resistance and dough extensibility. Marker-assisted selection for improved grain yield, through the selection of recurrent parent genome using anonymous markers, only marginally improved grain yield at one of the five sites used for grain yield assessment. In summary, the integration of marker-assisted selection for specific target genes, particularly at the early stages of a breeding programme, is likely to substantially increase genetic improvement in wheat.</t>
  </si>
  <si>
    <t>Australian Grain Technol, Plant Breeding Unit, Roseworthy, SA 5371, Australia; Univ Adelaide, Sch Agr Food &amp; Wine, Glen Osmond, SA 5064, Australia; Univ Adelaide, Mol Plant Breeding Cooperat Res Ctr, Glen Osmond, SA 5064, Australia; Univ Sydney, Plant Breeding Inst, Camden, NSW 2570, Australia</t>
  </si>
  <si>
    <t>University of Adelaide; University of Adelaide; University of Sydney</t>
  </si>
  <si>
    <t>Kuchel, H (corresponding author), Australian Grain Technol, Plant Breeding Unit, Perkins Bldg,Roseworthy Campus, Roseworthy, SA 5371, Australia.</t>
  </si>
  <si>
    <t>10.1007/s11032-007-9092-z</t>
  </si>
  <si>
    <t>215FM</t>
  </si>
  <si>
    <t>WOS:000249793700001</t>
  </si>
  <si>
    <t>Nagel, KA; Kastenholz, B; Jahnke, S; Van Dusschoten, D; Aach, T; Mühlich, M; Truhn, D; Scharr, H; Terjung, S; Walter, A; Schurr, U</t>
  </si>
  <si>
    <t>Nagel, Kerstin A.; Kastenholz, Bernd; Jahnke, Siegfried; Van Dusschoten, Dagmar; Aach, Til; Muehlich, Matthias; Truhn, Daniel; Scharr, Hanno; Terjung, Stefan; Walter, Achim; Schurr, Ulrich</t>
  </si>
  <si>
    <t>Temperature responses of roots: impact on growth, root system architecture and implications for phenotyping</t>
  </si>
  <si>
    <t>FUNCTIONAL PLANT BIOLOGY</t>
  </si>
  <si>
    <t>Brassica napus; magnetic resonance imaging; positron emission tomography; root branching; temperature gradient; Zea mays</t>
  </si>
  <si>
    <t>RAPE BRASSICA-NAPUS; OILSEED RAPE; ZONE TEMPERATURE; PLANT NUTRITION; CELL-DIVISION; WATER REGIMES; MAIZE ROOT; SOIL CORE; SEEDLINGS; ACQUISITION</t>
  </si>
  <si>
    <t>Root phenotyping is a challenging task, mainly because of the hidden nature of this organ. Only recently, imaging technologies have become available that allow us to elucidate the dynamic establishment of root structure and function in the soil. In root tips, optical analysis of the relative elemental growth rates in root expansion zones of hydroponically-grown plants revealed that it is the maximum intensity of cellular growth processes rather than the length of the root growth zone that control the acclimation to dynamic changes in temperature. Acclimation of entire root systems was studied at high throughput in agar-filled Petri dishes. In the present study, optical analysis of root system architecture showed that low temperature induced smaller branching angles between primary and lateral roots, which caused a reduction in the volume that roots access at lower temperature. Simulation of temperature gradients similar to natural soil conditions led to differential responses in basal and apical parts of the root system, and significantly affected the entire root system. These results were supported by first data on the response of root structure and carbon transport to different root zone temperatures. These data were acquired by combined magnetic resonance imaging (MRI) and positron emission tomography ( PET). They indicate acclimation of root structure and geometry to temperature and preferential accumulation of carbon near the root tip at low root zone temperatures. Overall, this study demonstrated the value of combining different phenotyping technologies that analyse processes at different spatial and temporal scales. Only such an integrated approach allows us to connect differences between genotypes obtained in artificial high throughput conditions with specific characteristics relevant for field performance. Thus, novel routes may be opened up for improved plant breeding as well as for mechanistic understanding of root structure and function.</t>
  </si>
  <si>
    <t>[Nagel, Kerstin A.; Kastenholz, Bernd; Jahnke, Siegfried; Van Dusschoten, Dagmar; Scharr, Hanno; Terjung, Stefan; Walter, Achim; Schurr, Ulrich] KFA Julich GmbH, Forschungszentrum, Inst Chem &amp; Dynam Geosphere Phytosphere ICG 3, D-52425 Julich, Germany; [Aach, Til; Muehlich, Matthias; Truhn, Daniel] Rhein Westfal TH Aachen, Lehrstuhl Bildverarbeitung, D-52056 Aachen, Germany; [Terjung, Stefan] EMBL Heidelberg, D-69117 Heidelberg, Germany</t>
  </si>
  <si>
    <t>Helmholtz Association; Research Center Julich; RWTH Aachen University; European Molecular Biology Laboratory (EMBL)</t>
  </si>
  <si>
    <t>Nagel, KA (corresponding author), KFA Julich GmbH, Forschungszentrum, Inst Chem &amp; Dynam Geosphere Phytosphere ICG 3, Postfach 1913, D-52425 Julich, Germany.</t>
  </si>
  <si>
    <t>k.nagel@fz-juelich.de</t>
  </si>
  <si>
    <t>Walter, Achim/N-8392-2013; Schurr, Ulrich/AAA-3158-2022; Truhn, Daniel/AAG-9359-2021; van+Dusschoten, Dagmar/ACX-2665-2022; Scharr, Hanno/D-9051-2015</t>
  </si>
  <si>
    <t>Nagel, Kerstin A./0000-0003-3025-0388; van Dusschoten, Dagmar/0000-0002-6251-1231; Walter, Achim/0000-0001-7753-9643; Kastenholz, Bernd/0000-0001-7954-9474; Terjung, Stefan/0000-0002-0018-1804; Scharr, Hanno/0000-0002-8555-6416; Truhn, Daniel/0000-0002-9605-0728</t>
  </si>
  <si>
    <t>150 OXFORD ST, PO BOX 1139, COLLINGWOOD, VICTORIA 3066, AUSTRALIA</t>
  </si>
  <si>
    <t>1445-4408</t>
  </si>
  <si>
    <t>FUNCT PLANT BIOL</t>
  </si>
  <si>
    <t>Funct. Plant Biol.</t>
  </si>
  <si>
    <t>10-11</t>
  </si>
  <si>
    <t>10.1071/FP09184</t>
  </si>
  <si>
    <t>515IY</t>
  </si>
  <si>
    <t>WOS:000271464600013</t>
  </si>
  <si>
    <t>Seck, F; Covarrubias-Pazaran, G; Gueye, T; Bartholome, J</t>
  </si>
  <si>
    <t>Seck, Fallou; Covarrubias-Pazaran, Giovanny; Gueye, Tala; Bartholome, Jerome</t>
  </si>
  <si>
    <t>Realized Genetic Gain in Rice: Achievements from Breeding Programs</t>
  </si>
  <si>
    <t>RICE</t>
  </si>
  <si>
    <t>Genetic gain; Response to selection; Breeder's equation; Rice; Breeding program</t>
  </si>
  <si>
    <t>IRRIGATED RICE; GRAIN-YIELD; GENOMIC SELECTION; COMPUTER-SIMULATION; PREDICTION ACCURACY; CLIMATE-CHANGE; MINAS-GERAIS; PROGRESS; IMPROVEMENT; POPULATIONS</t>
  </si>
  <si>
    <t>Genetic improvement is crucial for ensuring food security globally. Indeed, plant breeding has contributed significantly to increasing the productivity of major crops, including rice, over the last century. Evaluating the efficiency of breeding strategies necessitates a quantification of this progress. One approach involves assessing the genetic gain achieved through breeding programs based on quantitative traits. This study aims to provide a theoretical understanding of genetic gain, summarize the major results of genetic gain studies in rice breeding, and suggest ways of improving breeding program strategies and future studies on genetic gain. To achieve this, we present the concept of genetic gain and the essential aspects of its estimation. We also provide an extensive literature review of genetic gain studies in rice (Oryza sativa L.) breeding programs to understand the advances made to date. We reviewed 29 studies conducted between 1999 and 2023, covering different regions, traits, periods, and estimation methods. The genetic gain for grain yield, in particular, showed significant variation, ranging from 1.5 to 167.6 kg/ha/year, with a mean value of 36.3 kg/ha/year. This translated into a rate of genetic gain for grain yield ranging from 0.1% to over 3.0%. The impact of multi-trait selection on grain yield was clarified by studies that reported genetic gains for other traits, such as plant height, days to flowering, and grain quality. These findings reveal that while breeding programs have achieved significant gains, further improvements are necessary to meet the growing demand for rice. We also highlight the limitations of these studies, which hinder accurate estimations of genetic gain. In conclusion, we offer suggestions for improving the estimation of genetic gain based on quantitative genetic principles and computer simulations to optimize rice breeding strategies.</t>
  </si>
  <si>
    <t>[Seck, Fallou; Covarrubias-Pazaran, Giovanny] Int Rice Res Inst, Rice Breeding Platform, DAPO Box 7777, Manila, Philippines; [Seck, Fallou; Gueye, Tala] Univ Iba Thiam Thies, Thies, Senegal; [Bartholome, Jerome] CIRAD, UMR AGAP Inst, Cali, Colombia; [Bartholome, Jerome] Univ Montpellier, AGAP, CIRAD, INRA, Montpellier, France; [Bartholome, Jerome] Alliance Biovers Int &amp; CIAT, Cali, Colombia</t>
  </si>
  <si>
    <t>CGIAR; International Rice Research Institute (IRRI); CIRAD; CIRAD; Universite de Montpellier; INRAE</t>
  </si>
  <si>
    <t>Bartholome, J (corresponding author), CIRAD, UMR AGAP Inst, Cali, Colombia.;Bartholome, J (corresponding author), Univ Montpellier, AGAP, CIRAD, INRA, Montpellier, France.;Bartholome, J (corresponding author), Alliance Biovers Int &amp; CIAT, Cali, Colombia.</t>
  </si>
  <si>
    <t>jerome.bartholome@cirad.fr</t>
  </si>
  <si>
    <t>Bill and Melinda Gates Foundation; Rice Breeding Innovation Platform at IRRI in the Philippines</t>
  </si>
  <si>
    <t>Bill and Melinda Gates Foundation(Bill &amp; Melinda Gates Foundation); Rice Breeding Innovation Platform at IRRI in the Philippines</t>
  </si>
  <si>
    <t>We thank all the staff from the Rice Breeding Innovation Platform at IRRI in the Philippines. We also thank Christian Werner at the Excellence in Breeding Platform (CIMMYT) for sharing documents on genetic gain assessment. This work is dedicated to Professor Tala Gueye, one of the co-authors, who passed away before the publication of this work. It is heart-wrenching to know that he will not be around to witness the fruits of his hard work and collaboration. Professor Gueye was a wonderful person, so much valued by everyone who knew him, and a great colleague. His availability and helpful nature were just a few of his qualities that we all appreciated. We are grateful for all the moments shared, the work done, and the shared memories. His presence will be missed dearly. May his soul rest in peace.</t>
  </si>
  <si>
    <t>1939-8425</t>
  </si>
  <si>
    <t>1939-8433</t>
  </si>
  <si>
    <t>Rice</t>
  </si>
  <si>
    <t>10.1186/s12284-023-00677-6</t>
  </si>
  <si>
    <t>CG5H9</t>
  </si>
  <si>
    <t>WOS:001124109100001</t>
  </si>
  <si>
    <t>Pérez-Enciso, M; Rincón, JC; Legarra, A</t>
  </si>
  <si>
    <t>Perez-Enciso, Miguel; Rincon, Juan C.; Legarra, Andres</t>
  </si>
  <si>
    <t>Sequence- vs. chip-assisted genomic selection: accurate biological information is advised</t>
  </si>
  <si>
    <t>COMPLEX TRAITS; PREDICTION; IMPUTATION; ORGANISMS; BULLS</t>
  </si>
  <si>
    <t>Background: The development of next-generation sequencing technologies (NGS) has made the use of whole-genome sequence data for routine genetic evaluations possible, which has triggered a considerable interest in animal and plant breeding fields. Here, we investigated whether complete or partial sequence data can improve upon existing SNP (single nucleotide polymorphism) array-based selection strategies by simulation using a mixed coalescence - gene-dropping approach. Results: We simulated 20 or 100 causal mutations (quantitative trait nucleotides, QTN) within 65 predefined 'gene' regions, each 10 kb long, within a genome composed of ten 3-Mb chromosomes. We compared prediction accuracy by cross-validation using a medium-density chip (7.5 k SNPs), a high-density (HD, 17 k) and sequence data (335 k). Genetic evaluation was based on a GBLUP method. The simulations showed: (1) a law of diminishing returns with increasing number of SNPs; (2) a modest effect of SNP ascertainment bias in arrays; (3) a small advantage of using whole-genome sequence data vs. HD arrays i.e. similar to 4%; (4) a minor effect of NGS errors except when imputation error rates are high (&gt;= 20%); and (5) if QTN were known, prediction accuracy approached 1. Since this is obviously unrealistic, we explored milder assumptions. We showed that, if all SNPs within causal genes were included in the prediction model, accuracy could also dramatically increase by similar to 40%. However, this criterion was highly sensitive to either misspecification (including wrong genes) or to the use of an incomplete gene list; in these cases, accuracy fell rapidly towards that reached when all SNPs from sequence data were blindly included in the model. Conclusions: Our study shows that, unless an accurate prior estimate on the functionality of SNPs can be included in the predictor, there is a law of diminishing returns with increasing SNP density. As a result, use of whole-genome sequence data may not result in a highly increased selection response over high-density genotyping.</t>
  </si>
  <si>
    <t>[Perez-Enciso, Miguel; Rincon, Juan C.] CSIC IRTA UAB UB Consortium, Ctr Res Agr Genom, Barcelona 08193, Spain; [Perez-Enciso, Miguel] Univ Autonoma Barcelona, Dept Ciencia Anim &amp; Dels Aliments, E-08193 Barcelona, Spain; [Perez-Enciso, Miguel] Inst Catala Recerca &amp; Estudis Avancats, Barcelona 08010, Spain; [Rincon, Juan C.] Univ Nacl Colombia, Sede Medellin, Fac Ciencias Agr, Dept Anim Prod, Medellin, Colombia; [Legarra, Andres] INRA, UMR GENPHYSE 1388, Genet Physiol &amp; Syst Elevage, F-31326 Castanet Tolosan, France</t>
  </si>
  <si>
    <t>IRTA; Consejo Superior de Investigaciones Cientificas (CSIC); Centre de Recerca en Agrigenomica (CRAG); Autonomous University of Barcelona; ICREA; Universidad Nacional de Colombia; INRAE</t>
  </si>
  <si>
    <t>Pérez-Enciso, M (corresponding author), CSIC IRTA UAB UB Consortium, Ctr Res Agr Genom, Barcelona 08193, Spain.</t>
  </si>
  <si>
    <t>Rincon Florez, Juan Carlos/0000-0002-6769-6407; Legarra, Andres/0000-0001-8893-7620; Perez-Enciso, Miguel/0000-0003-3524-995X</t>
  </si>
  <si>
    <t>Colciencias, (Colombia) [528]; project GenSSeq of the INRA metaprogram SelGen (France); [AGI 2010-14822]; [AGI 2013-41834-R]</t>
  </si>
  <si>
    <t>Colciencias, (Colombia)(Departamento Administrativo de Ciencia, Tecnologia e Innovacion Colciencias); project GenSSeq of the INRA metaprogram SelGen (France); ;</t>
  </si>
  <si>
    <t>We thank for comments from A Garcia-Dorado on the genetic architecture of complex traits. JCR was funded by Colciencias, call no. 528 (Colombia). Work was funded by projects AGI 2010-14822 and AGI 2013-41834-R to MPE. AL acknowledges financing from the project GenSSeq of the INRA metaprogram SelGen (France). This work was carried out while the senior author, kindly invited by G. de los Campos, was visiting the University of Alabama Birmingham (USA).</t>
  </si>
  <si>
    <t>MAY 9</t>
  </si>
  <si>
    <t>10.1186/s12711-015-0117-5</t>
  </si>
  <si>
    <t>CH5NR</t>
  </si>
  <si>
    <t>WOS:000354083100001</t>
  </si>
  <si>
    <t>Onogi, A; Ideta, O; Yoshioka, T; Ebana, K; Yamasaki, M; Iwata, H</t>
  </si>
  <si>
    <t>Onogi, Akio; Ideta, Osamu; Yoshioka, Takuma; Ebana, Kaworu; Yamasaki, Masanori; Iwata, Hiroyoshi</t>
  </si>
  <si>
    <t>Uncovering a Nuisance Influence of a Phenological Trait of Plants Using a Nonlinear Structural Equation: Application to Days to Heading and Culm Length in Asian Cultivated Rice (Oryza Sativa L.)</t>
  </si>
  <si>
    <t>SOMATIC-CELL SCORE; FLOWERING TIME; MILK-YIELD; INFERRING RELATIONSHIPS; NATURAL VARIATION; DATE; HEIGHT; MODELS; LOCI; GENE</t>
  </si>
  <si>
    <t>Phenological traits of plants, such as flowering time, are linked to growth phase transition. Thus, phenological traits often influence other traits through the modification of the duration of growth period. This influence is a nuisance in plant breeding because it hampers genetic evaluation of the influenced traits. Genetic effects on the influenced traits have two components, one that directly affects the traits and one that indirectly affects the traits via the phenological trait. These cannot be distinguished by phenotypic evaluation and ordinary linear regression models. Consequently, if a phenological trait is modified by introgression or editing of the responsible genes, the phenotypes of the influenced traits can change unexpectedly. To uncover the influence of the phenological trait and evaluate the direct genetic effects on the influenced traits, we developed a nonlinear structural equation (NSE) incorporating a nonlinear influence of the phenological trait. We applied the NSE to real data for cultivated rice (Oryza sativa L.): days to heading (DH) as a phenological trait and culm length (CL) as the influenced trait. This showed that CL of the cultivars that showed extremely early heading was shortened by the strong influence of DH. In a simulation study, it was shown that the NSE was able to infer the nonlinear influence and direct genetic effects with reasonable accuracy. However, the NSE failed to infer the linear influence in this study. When no influence was simulated, an ordinary bi-trait linear model (OLM) tended to infer the genetic effects more accurately. In such cases, however, by comparing the NSE and OLM using an information criterion, we could assess whether the nonlinear assumption of the NSE was appropriate for the data analyzed. This study demonstrates the usefulness of the NSE in revealing the phenotypic influence of phenological traits.</t>
  </si>
  <si>
    <t>[Onogi, Akio; Iwata, Hiroyoshi] Univ Tokyo, Grad Sch Agr &amp; Life Sci, Dept Agr &amp; Environm Biol, Tokyo, Japan; [Ideta, Osamu] Natl Agr &amp; Food Res Org, Western Reg Agr Res Ctr, Fukuyama, Hiroshima, Japan; [Yoshioka, Takuma; Yamasaki, Masanori] Kobe Univ, Food Resources Educ &amp; Res Ctr, Grad Sch Agr Sci, Kasai, Hyogo, Japan; [Ebana, Kaworu] Natl Inst Agrobiol Sci, Genet Resources Ctr, Tsukuba, Ibaraki, Japan</t>
  </si>
  <si>
    <t>University of Tokyo; National Agriculture &amp; Food Research Organization - Japan; Kobe University; National Institute of Agrobiological Sciences - Japan</t>
  </si>
  <si>
    <t>Iwata, H (corresponding author), Univ Tokyo, Grad Sch Agr &amp; Life Sci, Dept Agr &amp; Environm Biol, Tokyo, Japan.</t>
  </si>
  <si>
    <t>aiwata@mail.ecc.u-tokyo.ac.jp</t>
  </si>
  <si>
    <t>; Yamasaki, Masanori/C-5193-2018</t>
  </si>
  <si>
    <t>Iwata, Hiroyoshi/0000-0002-6747-7036; Yamasaki, Masanori/0000-0001-7759-3965</t>
  </si>
  <si>
    <t>JSPS KAKENHI [25252002, 14J10661, 15H04436]; Ministry of Agriculture, Forestry and Fisheries of Japan (Genomics for Agricultural Innovation) [NVR-0002]; Grants-in-Aid for Scientific Research [14J10661, 15H04436, 25252002] Funding Source: KAKEN</t>
  </si>
  <si>
    <t>JSPS KAKENHI(Ministry of Education, Culture, Sports, Science and Technology, Japan (MEXT)Japan Society for the Promotion of ScienceGrants-in-Aid for Scientific Research (KAKENHI)); Ministry of Agriculture, Forestry and Fisheries of Japan (Genomics for Agricultural Innovation)(Ministry of Agriculture Forestry &amp; Fisheries - Japan); Grants-in-Aid for Scientific Research(Ministry of Education, Culture, Sports, Science and Technology, Japan (MEXT)Japan Society for the Promotion of ScienceGrants-in-Aid for Scientific Research (KAKENHI))</t>
  </si>
  <si>
    <t>This study was supported by JSPS KAKENHI Grant Numbers 25252002, 14J10661 and 15H04436, and by a grant from the Ministry of Agriculture, Forestry and Fisheries of Japan (Genomics for Agricultural Innovation, NVR-0002).</t>
  </si>
  <si>
    <t>FEB 9</t>
  </si>
  <si>
    <t>e0148609</t>
  </si>
  <si>
    <t>10.1371/journal.pone.0148609</t>
  </si>
  <si>
    <t>DD6MN</t>
  </si>
  <si>
    <t>WOS:000370038400056</t>
  </si>
  <si>
    <t>Bourke, PM; Voorrips, RE; Visser, RGF; Maliepaard, C</t>
  </si>
  <si>
    <t>Bourke, Peter M.; Voorrips, Roeland E.; Visser, Richard G. F.; Maliepaard, Chris</t>
  </si>
  <si>
    <t>Tools for Genetic Studies in Experimental Populations of Polyploids</t>
  </si>
  <si>
    <t>polyploid genetics; polyploid software tools; autopolyploid; allopolyploid; segmental allopolyploid</t>
  </si>
  <si>
    <t>GENOME-WIDE ASSOCIATION; SNP GENOTYPING ARRAY; COMPLEX TRAITS; LINKAGE MAPS; INBREEDING DEPRESSION; BRASSICA-NAPUS; GOSSYPIUM-HIRSUTUM; PROVIDES INSIGHT; HEXAPLOID WHEAT; MARKERS</t>
  </si>
  <si>
    <t>Polyploid organisms carry more than two copies of each chromosome, a condition rarely tolerated in animals but which occurs relatively frequently in the plant kingdom. One of the principal challenges faced by polyploid organisms is to evolve stable meiotic mechanisms to faithfully transmit genetic information to the next generation upon which the study of inheritance is based. In this review we look at the tools available to the research community to better understand polyploid inheritance, many of which have only recently been developed. Most of these tools are intended for experimental populations (rather than natural populations), facilitating genomics-assisted crop improvement and plant breeding. This is hardly surprising given that a large proportion of domesticated plant species are polyploid. We focus on three main areas: (1) polyploid genotyping; (2) genetic and physical mapping; and (3) quantitative trait analysis and genomic selection. We also briefly review some miscellaneous topics such as the mode of inheritance and the availability of polyploid simulation software. The current polyploid analytic toolbox includes software for assigning marker genotypes (and in particular, estimating the dosage of marker alleles in the heterozygous condition), establishing chromosome-scale linkage phase among marker alleles, constructing (short-range) haplotypes, generating linkage maps, performing genome-wide association studies (GWAS) and quantitative trait locus (QTL) analyses, and simulating polyploid populations. These tools can also help elucidate the mode of inheritance (disomic, polysomic or a mixture of both as in segmental allopolyploids) or reveal whether double reduction and multivalent chromosomal pairing occur. An increasing number of polyploids (or associated diploids) are being sequenced, leading to publicly available reference genome assemblies. Much work remains in order to keep pace with developments in genomic technologies. However, such technologies also offer the promise of understanding polyploid genomes at a level which hitherto has remained elusive.</t>
  </si>
  <si>
    <t>[Bourke, Peter M.; Voorrips, Roeland E.; Visser, Richard G. F.; Maliepaard, Chris] Wageningen Univ &amp; Res, Plant Breeding, Wageningen, Netherlands</t>
  </si>
  <si>
    <t>Maliepaard, C (corresponding author), Wageningen Univ &amp; Res, Plant Breeding, Wageningen, Netherlands.</t>
  </si>
  <si>
    <t>chris.maliepaard@wur.nl</t>
  </si>
  <si>
    <t>Visser, Richard/B-3423-2012; Voorrips, Roeland/H-3458-2011; Bourke, Peter/JBS-4257-2023</t>
  </si>
  <si>
    <t>Bourke, Peter M./0000-0002-0665-6508</t>
  </si>
  <si>
    <t>TKI polyploids project Novel Genetic and Genomic Tools for Polyploid Crops [BO-26.03-009-004, BO-50-002-022]</t>
  </si>
  <si>
    <t>TKI polyploids project Novel Genetic and Genomic Tools for Polyploid Crops</t>
  </si>
  <si>
    <t>This research was provided through the TKI polyploids project Novel Genetic and Genomic Tools for Polyploid Crops (project numbers BO-26.03-009-004 and BO-50-002-022). The support of the companies participating in the polyploids projects is gratefully acknowledged.</t>
  </si>
  <si>
    <t>APR 18</t>
  </si>
  <si>
    <t>10.3389/fpls.2018.00513</t>
  </si>
  <si>
    <t>GD2FO</t>
  </si>
  <si>
    <t>WOS:000430315700001</t>
  </si>
  <si>
    <t>Hammer, GL; Chapman, S; van Oosterom, E; Podlich, DW</t>
  </si>
  <si>
    <t>Trait physiology and crop modelling as a framework to link phenotypic complexity to underlying genetic systems</t>
  </si>
  <si>
    <t>gene-to-phenotype modelling; complex traits; molecular breeding; virtual plants</t>
  </si>
  <si>
    <t>OVERDOMINANT EPISTATIC LOCI; BY-ENVIRONMENT INTERACTION; FLOWERING TIME CONTROL; SORGHUM IMPROVE YIELD; GREEN LEAF-AREA; GRAIN-SORGHUM; TRANSPIRATION EFFICIENCY; INBREEDING DEPRESSION; OSMOTIC ADJUSTMENT; NETWORK MODEL</t>
  </si>
  <si>
    <t>New tools derived from advances in molecular biology have not been widely adopted in plant breeding for complex traits because of the inability to connect information at gene level to the phenotype in a manner that is useful for selection. In this study, we explored whether physiological dissection and integrative modelling of complex traits could link phenotype complexity to underlying genetic systems in a way that enhanced the power of molecular breeding strategies. A crop and breeding system simulation study on sorghum, which involved variation in 4 key adaptive traits-phenology, osmotic adjustment, transpiration efficiency, stay-green-and a broad range of production environments in north-eastern Australia, was used. The full matrix of simulated phenotypes, which consisted of 547 location-season combinations and 4235 genotypic expression states, was analysed for genetic and environmental effects. The analysis was conducted in stages assuming gradually increased understanding of gene-to-phenotype relationships, which would arise from physiological dissection and modelling. It was found that environmental characterisation and physiological knowledge helped to explain and unravel gene and environment context dependencies in the data. Based on the analyses of gene effects, a range of marker-assisted selection breeding strategies was simulated. It was shown that the inclusion of knowledge resulting from trait physiology and modelling generated an enhanced rate of yield advance over cycles of selection. This occurred because the knowledge associated with component trait physiology and extrapolation to the target population of environments by modelling removed confounding effects associated with environment and gene context dependencies for the markers used. Developing and implementing this gene-to-phenotype capability in crop improvement requires enhanced attention to phenotyping, ecophysiological modelling, and validation studies to test the stability of candidate genetic regions.</t>
  </si>
  <si>
    <t>Univ Queensland, Sch Land &amp; Food Sci, Agr Prod Syst Res Unit, Brisbane, Qld 4072, Australia; Queensland Dept Primary Ind &amp; Fisheries, Agr Prod Syst Res Unit, Toowoomba, Qld 4350, Australia; CSIRO Plant Ind, Queensland Biosci Precinct, St Lucia, Qld 4067, Australia; Pioneer HiBred Int Inc, Johnston, IA 50131 USA</t>
  </si>
  <si>
    <t>University of Queensland; Commonwealth Scientific &amp; Industrial Research Organisation (CSIRO); Queensland Department of Agriculture &amp; Fisheries; Commonwealth Scientific &amp; Industrial Research Organisation (CSIRO); DuPont; DuPont USA</t>
  </si>
  <si>
    <t>Univ Queensland, Sch Land &amp; Food Sci, Agr Prod Syst Res Unit, Brisbane, Qld 4072, Australia.</t>
  </si>
  <si>
    <t>; Hammer, Graeme/A-3785-2008; Chapman, Scott/B-9673-2008</t>
  </si>
  <si>
    <t>Van Oosterom, Erik/0000-0003-4886-4038; Hammer, Graeme/0000-0002-1180-7374; Chapman, Scott/0000-0003-4732-8452</t>
  </si>
  <si>
    <t>10.1071/AR05157</t>
  </si>
  <si>
    <t>968MD</t>
  </si>
  <si>
    <t>WOS:000232165700007</t>
  </si>
  <si>
    <t>AlAita, A; Talebi, H</t>
  </si>
  <si>
    <t>AlAita, Abdulrahman; Talebi, Hooshang</t>
  </si>
  <si>
    <t>Exact neutrosophic analysis of missing value in augmented randomized complete block design</t>
  </si>
  <si>
    <t>COMPLEX &amp; INTELLIGENT SYSTEMS</t>
  </si>
  <si>
    <t>Augmented design; Exact scheme; Missing value; Neutrosophic statistics; ANOVA; Neutrosophic ANOVA; NRCBD</t>
  </si>
  <si>
    <t>FUZZY; COVARIANCE; TESTS</t>
  </si>
  <si>
    <t>The augmented randomized complete block design (ARCBD) is widely used in plant breeding programs to screen numerous new treatments. The error variance is estimated based on the replicated control treatments run over a randomized complete block design and is used to test the new treatments that are administrated each once in the extended units of the blocks. However, one or more observations corresponding to the control treatments may be missed in experiments, making difficulties, e.g., biased estimates. An approximate common approach to deal with this problem is the imputation of the estimated value which is with some uncertainties. Moreover, in real-life experiments, there are more sources of uncertainty that cause conflict-indeterminate, vague, imprecise, and erroneous data that increases the complexity of the analysis. In this paper, an exact scheme is utilized to deal with a missing control treatment in ARCBD. To overcome the problem of indeterminacies in data, a novel neutrosophic analysis approach is proposed. Specifically, the problem of a missing value in an ARCBD for an uncertain environment is resolved analytically by considering an augmented incomplete block design in the framework of neutrosophic statistics so-called neutrosophic augmented randomized complete block design (NARCBD). In this approach, by proposing the neutrosophic model, the neutrosophic estimations as well as the mathematical neutrosophic adjusted sums of squares are derived and the analysis of variance table is provided. The new model is applied to the neutrosophic genotype data example of safflower and assessed by a simulation study. Furthermore, a code in the R software was written to analyze the data based on the proposed approach to fill the calculation gap for data analysis in NARCBD with a missing value. In light of the results observed, it can be concluded that the neutrosophic exact proposed method performs better than the classic in the presence of uncertainty.</t>
  </si>
  <si>
    <t>[AlAita, Abdulrahman; Talebi, Hooshang] Univ Isfahan, Dept Stat, Azadi Sq, Esfahan 8174673441, Iran</t>
  </si>
  <si>
    <t>University of Isfahan</t>
  </si>
  <si>
    <t>Talebi, H (corresponding author), Univ Isfahan, Dept Stat, Azadi Sq, Esfahan 8174673441, Iran.</t>
  </si>
  <si>
    <t>abdulrahman.aita33@sci.ui.ac.ir; h-talebi@sci.ui.ac.ir</t>
  </si>
  <si>
    <t>talebi, hoshang/W-9596-2018</t>
  </si>
  <si>
    <t>2199-4536</t>
  </si>
  <si>
    <t>2198-6053</t>
  </si>
  <si>
    <t>COMPLEX INTELL SYST</t>
  </si>
  <si>
    <t>COMPLEX INTELL. SYST.</t>
  </si>
  <si>
    <t>10.1007/s40747-023-01182-5</t>
  </si>
  <si>
    <t>JUL 2023</t>
  </si>
  <si>
    <t>HN7S4</t>
  </si>
  <si>
    <t>WOS:001035544000001</t>
  </si>
  <si>
    <t>Moehring, J; Williams, ER; Piepho, HP</t>
  </si>
  <si>
    <t>Moehring, Jens; Williams, Emlyn R.; Piepho, Hans-Peter</t>
  </si>
  <si>
    <t>Efficiency of augmented p-rep designs in multi-environmental trials</t>
  </si>
  <si>
    <t>MIXED MODELS; FIELD EXPERIMENTS; SPATIAL-ANALYSIS; STATISTICAL-MODEL; VARIETY TRIALS; SELECTION; STAGE; YIELD; PREDICTION; BLUP</t>
  </si>
  <si>
    <t>Key message The paper shows that unreplicated designs in multi-environmental trials are most efficient. If replication per environment is needed then augmented p-rep designs outperform augmented and replicated designs in triticale and maize. Abstract In plant breeding, augmented designs with unreplicated entries are frequently used for early generation testing. With limited amount of seed, this design allows to use a maximum number of environments in multi-environmental trials (METs). Check plots enable the estimation of block effects, error variances and a connection of otherwise unconnected trials in METs. Cullis et al. (J Agri Biol Environ Stat 11:381-393, 2006) propose to replace check plots from a grid-plot design by plots of replicated entries leading to partially replicated (p-rep) designs. Williams et al. (Biom J 53:19-27, 2011) apply this idea to augmented designs (augmented p-rep designs). While p-rep designs are increasingly used in METs, a comparison of the efficiency of augmented p-rep designs and augmented designs in the range between replicated and unreplicated designs in METs is lacking. We simulated genetic effects and allocated them according to these four designs to plot yields of a triticale and a maize uniformity trial. The designs varied in the number of environments, but have a fixed number of entries and total plots. The error model and the assumption of fixed or random entry effects were varied in simulations. We extended our simulation for the triticale data by including correlated entry effects which are common in genomic selection. Results show an advantage of unreplicated and augmented p-rep designs and a preference for using random entry effects, especially in case of correlated effects reflecting relationships among entries. Spatial error models had minor advantages compared to purely randomization-based models.</t>
  </si>
  <si>
    <t>[Moehring, Jens; Piepho, Hans-Peter] Univ Hohenheim, Inst Crop Sci, Bioinformat Unit, Stuttgart, Germany; [Williams, Emlyn R.] Australian Natl Univ, Stat Consulting Unit, Canberra, ACT 0200, Australia</t>
  </si>
  <si>
    <t>University Hohenheim; Australian National University</t>
  </si>
  <si>
    <t>Piepho, HP (corresponding author), Univ Hohenheim, Inst Crop Sci, Bioinformat Unit, Stuttgart, Germany.</t>
  </si>
  <si>
    <t>DFG [PI 377/13-1]; Federal Ministry of Education and Research (BMBF), Germany [0315414A]</t>
  </si>
  <si>
    <t>DFG(German Research Foundation (DFG)); Federal Ministry of Education and Research (BMBF), Germany(Federal Ministry of Education &amp; Research (BMBF))</t>
  </si>
  <si>
    <t>Jens Mohring was supported by DFG Grant PI 377/13-1. We thank two anonymous reviewers for their helpful comments. The DArT marker data were created within research project 0315414A, funded by the Federal Ministry of Education and Research (BMBF), Germany.</t>
  </si>
  <si>
    <t>10.1007/s00122-014-2278-y</t>
  </si>
  <si>
    <t>AI3IO</t>
  </si>
  <si>
    <t>WOS:000336754700004</t>
  </si>
  <si>
    <t>Fernández-González, J; Sánchez, J</t>
  </si>
  <si>
    <t>Fernandez-Gonzalez, Javier; Sanchez, Julio</t>
  </si>
  <si>
    <t>Optimizing fully-efficient two-stage models for genomic selection using open-source software</t>
  </si>
  <si>
    <t>PLANT METHODS</t>
  </si>
  <si>
    <t>Two-stage models; Fully-efficient; Variance-covariance; Open-source; Weighted regression; Genomic prediction; Genomic selection; Plant breeding</t>
  </si>
  <si>
    <t>STAGE-WISE ANALYSIS; VARIETY TRIALS; PREDICTION; HETEROGENEITY; REGRESSION; VARIANCE; GENOTYPE; DESIGNS; IMPACT</t>
  </si>
  <si>
    <t>Genomic-assisted breeding has transitioned from theoretical concepts to practical applications in breeding. Genomic selection (GS) predicts genomic breeding values (GEBV) using dense genetic markers. Single-stage models predict GEBVs from phenotypic observations in one step, fully accounting for the entire variance-covariance structure among genotypes, but face computational challenges. Two-stage models, preferred for their simplicity and efficiency, first calculate adjusted genotypic means accounting for spatial variation within each environment, then use these means to predict GEBVs. However, unweighted (UNW) two-stage models assume independent errors among adjusted means, neglecting correlations among estimation errors. Here, we show that fully-efficient two-stage models perform similarly to UNW models for randomized complete block designs but substantially better for augmented designs. Our simulation studies demonstrate the impact of the fully-efficient methodology on prediction accuracy across different implementations and scenarios. Incorporating non-additive effects and augmented designs significantly improved accuracy, emphasizing the synergy between design and model strategy. Consistent performance requires the estimation error covariance to be incorporated into a random effect (Full_R model) rather than into the residuals. Our results suggest that the fully-efficient methodology, particularly the Full_R model, should be more prevalent, especially as GS increases the appeal of sparse designs. We also provide a comprehensive theoretical background and open-source R code, enhancing understanding and facilitating broader adoption of fully-efficient two-stage models in GS. Here, we offer insights into the practical applications of fully-efficient models and their potential to increase genetic gain, demonstrating a 13.80%\documentclass[12pt]{minimal} \usepackage{amsmath} \usepackage{wasysym} \usepackage{amsfonts} \usepackage{amssymb} \usepackage{amsbsy} \usepackage{mathrsfs} \usepackage{upgreek} \setlength{\oddsidemargin}{-69pt} \begin{document}$$13.80\%$$\end{document} improvement after five selection cycles when moving from UNW to Full_R models.</t>
  </si>
  <si>
    <t>[Fernandez-Gonzalez, Javier; Sanchez, Julio] Univ Politecn Madrid UPM, Ctr Biotecnol &amp; Genom Plantas CBGP, Inst Nacl Invest &amp; Tecnol Agr &amp; Alimentaria INIA, Campus Montegancedo UPM, Pozuelo De Alarcon 28223, Madrid, Spain</t>
  </si>
  <si>
    <t>Universidad Politecnica de Madrid; Centro de Investigacion en Biotecnologia Genomica de Plantas (CBGP); Instituto Nacional Investigacion Tecnologia Agraria Alimentaria (INIA)</t>
  </si>
  <si>
    <t>Fernández-González, J; Sánchez, J (corresponding author), Univ Politecn Madrid UPM, Ctr Biotecnol &amp; Genom Plantas CBGP, Inst Nacl Invest &amp; Tecnol Agr &amp; Alimentaria INIA, Campus Montegancedo UPM, Pozuelo De Alarcon 28223, Madrid, Spain.</t>
  </si>
  <si>
    <t>javier.fgonzalez@upm.es; j.isidro@upm.es</t>
  </si>
  <si>
    <t>MCIN/AEI [PID2021-123718OB-I00]; ERDF A way of making Europe [CEX2020-000999-S]; Severo Ochoa Program for Centers of Excellence in R&amp;D from the Agencia Estatal de Investigacion of Spain; Ministerio de Ciencia, Innovacion y Universidades of Spain [FPU22/02543]</t>
  </si>
  <si>
    <t>MCIN/AEI; ERDF A way of making Europe; Severo Ochoa Program for Centers of Excellence in R&amp;D from the Agencia Estatal de Investigacion of Spain; Ministerio de Ciencia, Innovacion y Universidades of Spain(Spanish Government)</t>
  </si>
  <si>
    <t>J.I.y.S and JFG were supported by grant PID2021-123718OB-I00 funded by MCIN/AEI/10.13039/501 100 011 033 and by ERDF A way of making Europe,CEX2020-000999-S. J.I.y.S was also supported by the Severo Ochoa Program for Centers of Excellence in R&amp;D from the Agencia Estatal de Investigacion of Spain to the CBGP. JFG was also supported by the grant FPU22/02543 from Ministerio de Ciencia, Innovacion y Universidades of Spain.</t>
  </si>
  <si>
    <t>1746-4811</t>
  </si>
  <si>
    <t>Plant Methods</t>
  </si>
  <si>
    <t>FEB 4</t>
  </si>
  <si>
    <t>10.1186/s13007-024-01318-9</t>
  </si>
  <si>
    <t>U7D0Q</t>
  </si>
  <si>
    <t>WOS:001413342900002</t>
  </si>
  <si>
    <t>Grandke, F; Singh, P; Heuven, HCM; De Haan, JR; Metzler, D</t>
  </si>
  <si>
    <t>Grandke, Fabian; Singh, Priyanka; Heuven, Henri C. M.; De Haan, Jorn R.; Metzler, Dirk</t>
  </si>
  <si>
    <t>Advantages of continuous genotype values over genotype classes for GWAS in higher polyploids: a comparative study in hexaploid chrysanthemum</t>
  </si>
  <si>
    <t>Association study; Polyploids; Linear regression; Bayz; Partial least squares; Continuous genotypes</t>
  </si>
  <si>
    <t>GENOME; CONSEQUENCES; DUPLICATION; INFORMATION; ORGANISMS; DIVERSITY; SOFTWARE</t>
  </si>
  <si>
    <t>Background: Association studies are an essential part of modern plant breeding, but are limited for polyploid crops. The increased number of possible genotype classes complicates the differentiation between them. Available methods are limited with respect to the ploidy level or data producing technologies. While genotype classification is an established noise reduction step in diploids, it gains complexity with increasing ploidy levels. Eventually, the errors produced by misclassifications exceed the benefits of genotype classes. Alternatively, continuous genotype values can be used for association analysis in higher polyploids. We associated continuous genotypes to three different traits and compared the results to the output of the genotype caller SuperMASSA. Linear, Bayesian and partial least squares regression were applied, to determine if the use of continuous genotypes is limited to a specific method. A disease, a flowering and a growth trait with h(2) of 0.51, 0.78 and 0.91 were associated with a hexaploid chrysanthemum genotypes. The data set consisted of 55,825 probes and 228 samples. Results: We were able to detect associating probes using continuous genotypes for multiple traits, using different regression methods. The identified probe sets were overlapping, but not identical between the methods. Baysian regression was the most restrictive method, resulting in ten probes for one trait and none for the others. Linear and partial least squares regression led to numerous associating probes. Association based on genotype classes resulted in similar values, but missed several significant probes. A simulation study was used to successfully validate the number of associating markers. Conclusions: Association of various phenotypic traits with continuous genotypes is successful with both uni- and multivariate regression methods. Genotype calling does not improve the association and shows no advantages in this study. Instead, use of continuous genotypes simplifies the analysis, saves computational time and results more potential markers.</t>
  </si>
  <si>
    <t>[Grandke, Fabian; Singh, Priyanka; Heuven, Henri C. M.; De Haan, Jorn R.] Genetwister Technol BV, Wageningen, Netherlands; [Grandke, Fabian; Metzler, Dirk] Univ Munich LMU, Fak Biol, Munich, Germany; [Singh, Priyanka] Radboud Univ Nijmegen, IMM, Nijmegen, Netherlands; [Heuven, Henri C. M.] Wageningen UR, Anim Breeding &amp; Genet, Wageningen, Netherlands</t>
  </si>
  <si>
    <t>University of Munich; Radboud University Nijmegen; Wageningen University &amp; Research</t>
  </si>
  <si>
    <t>Grandke, F (corresponding author), Genetwister Technol BV, Wageningen, Netherlands.;Grandke, F (corresponding author), Univ Munich LMU, Fak Biol, Munich, Germany.</t>
  </si>
  <si>
    <t>grandke@biologie.uni-muenchen.de</t>
  </si>
  <si>
    <t>Metzler, Dirk/K-2797-2014</t>
  </si>
  <si>
    <t>Metzler, Dirk/0000-0003-1027-135X</t>
  </si>
  <si>
    <t>European Union [289974]; EC</t>
  </si>
  <si>
    <t>European Union(European Union (EU)); EC(European Union (EU)European Commission Joint Research Centre)</t>
  </si>
  <si>
    <t>This project (INTERCROSSING) has received funding from the European Union's Seventh Framework Programme for research, technological development and demonstration under grant agreement no 289974. The APC fee for this article has been funded by the EC FP7 Post-Grant Open Access Pilot. We thank Dummen Orange for providing the data set and Pascal Duenk for assistance with the DEBV s and bayz. We acknowledge Luc Janssen for the suggestion of an appropriate model for handling continuous genotypes and the critical comments by two anonymous reviewers on an earlier version of the manuscript.</t>
  </si>
  <si>
    <t>AUG 24</t>
  </si>
  <si>
    <t>10.1186/s12864-016-2926-5</t>
  </si>
  <si>
    <t>DY3GY</t>
  </si>
  <si>
    <t>WOS:000384980000001</t>
  </si>
  <si>
    <t>Fahim, M; Dhanapala, MP; Senadhira, D; Lawrence, MJ</t>
  </si>
  <si>
    <t>Quantitative genetics of rice - II. A comparison of the efficiency of four breeding methods</t>
  </si>
  <si>
    <t>rice; single seed descent; pedigree and modified pedigree methods; bulk method; plant breeding</t>
  </si>
  <si>
    <t>SINGLE-SEED DESCENT; SELFING PROGRAM; SELECTION; POPULATIONS; BULK; SIMULATION; PEDIGREE; YIELD; CROPS</t>
  </si>
  <si>
    <t>A comparison of the efficiency of four breeding methods, the pedigree, modified pedigree and bulk methods, and single seed descent, with a pair of crosses whose potential was assessed in a previous paper, showed that, on average, the Fg products of the three methods in which selection had been practiced outscored those produced by single seed descent for most characters for which improvement was sought. However, though the best lines produced by these methods achieved the desired targets for every character considered singly, none were significantly better than the best single seed descent line for any character in either cross. These results indicate that while it has been possible to practice effective negative selection during the course of inbreeding, by culling plants of poor performance, attempts to carry out positive selection of plants of superior performance were less successful. An audit of the costs incurred in producing the most promising F-6 lines that were extracted by these methods from each cross revealed that the single seed descent lines were the cheapest and those of the pedigree and modified pedigree methods the most expensive. These results indicate, therefore, that single seed descent is at least as effective as the other methods, is less costly and, where three generations can be raised per annum, is more rapid. Comparison of the observed proportions of superior single seed descent F-6 lines, with those predicted from information obtained from the F-3 generation of these crosses showed that for the majority of characters, the former were close to the latter. Single seed descent, therefore, has the further advantage that it is possible to predict the potential of a cross on information obtained from the early generations of the pedigree. (C) 1998 Elsevier Science B.V.</t>
  </si>
  <si>
    <t>Univ Birmingham, Sch Biol Sci, Wolfson Lab Plant Mol Biol, Birmingham B15 2TT, W Midlands, England; Rice Res &amp; Dev Inst, Batalagoda, Sri Lanka; Int Rice Res Inst, Plant Breeding Genet &amp; Biochem Div, Manila 1099, Philippines</t>
  </si>
  <si>
    <t>University of Birmingham; CGIAR; International Rice Research Institute (IRRI)</t>
  </si>
  <si>
    <t>Lawrence, MJ (corresponding author), Univ Birmingham, Sch Biol Sci, Wolfson Lab Plant Mol Biol, Birmingham B15 2TT, W Midlands, England.</t>
  </si>
  <si>
    <t>FEB 2</t>
  </si>
  <si>
    <t>10.1016/S0378-4290(97)00090-7</t>
  </si>
  <si>
    <t>YZ580</t>
  </si>
  <si>
    <t>WOS:000072268300006</t>
  </si>
  <si>
    <t>Sisterson, MS</t>
  </si>
  <si>
    <t>Sisterson, Mark S.</t>
  </si>
  <si>
    <t>Mitigating an Epidemic of Resistance with Integrated Disease Management Tactics: Conflicting Management Recommendations from Insecticide Resistance and Epidemiological Models</t>
  </si>
  <si>
    <t>disease control and pest management; modeling</t>
  </si>
  <si>
    <t>LEAF SCORCH DISEASE; HEMIPTERA CICADELLIDAE; VECTOR PREFERENCE; TRANSGENIC CROPS; PLANT-VIRUSES; EVOLUTION; TRANSMISSION; DYNAMICS; SPREAD; COTTON</t>
  </si>
  <si>
    <t>Insect-transmitted plant pathogens threaten crop production worldwide. Because a single feeding bout may be sufficient for a vector to transmit a pathogen that kills the plant, treatment thresholds for vectors of plant pathogens are low. For many vector species, overreliance on chemical controls has resulted in evolution of insecticide resistance. Analysis of complementary insecticide resistance and epidemiological models indicated that tactics for delaying resistance evolution conflict with tactics for limiting pathogen spread. Insecticide resistance models support maintaining untreated refuges that serve as a source of susceptible insects that reduce the likelihood of mating among rare resistant insects. In contrast, epidemiological models indicate that movement of vectors from untreated areas to insecticide-treated areas contributes to pathogen spread. Accordingly, epidemiological models support area-wide insecticide spray programs, although resistance models indicate that such an approach is likely to lead to rapid resistance. To mitigate risk of insecticide resistance, additional management approaches must be integrated into plant disease management strategies. The resistance and epidemiological models were used to evaluate effects of integrating application of insecticides with two additional management strategies: deployment of partially resistant plants (plants that are not immune to infection but have lower acquisition and inoculation rates than susceptible plants) and mating disruption (reduced vector birth rate in mating disruption-treated areas). Deployment of partially resistant plants reduced the risk that untreated areas served as a source of inoculative vectors. Mating disruption reduced the risk of resistance by suppressing growth of insecticide-resistant populations and benefited disease management by reducing vector abundance. Simulation results indicated that by targeting multiple aspects of the plant-pathogen-vector system, pathogen spread could be suppressed and resistance delayed. Implementation of such an approach will require innovations in vector control and sustained efforts in plant breeding.</t>
  </si>
  <si>
    <t>[Sisterson, Mark S.] USDA ARS, San Joaquin Valley Agr Sci Ctr, Parlier, CA 93648 USA</t>
  </si>
  <si>
    <t>United States Department of Agriculture (USDA)</t>
  </si>
  <si>
    <t>Sisterson, MS (corresponding author), USDA ARS, San Joaquin Valley Agr Sci Ctr, Parlier, CA 93648 USA.</t>
  </si>
  <si>
    <t>mark.sisterson@ars.usda.gov</t>
  </si>
  <si>
    <t>U.S. Department of Agriculture-Agricultural Research Service [2034-22000-012-000-D]</t>
  </si>
  <si>
    <t>U.S. Department of Agriculture-Agricultural Research Service(United States Department of Agriculture (USDA)USDA Agricultural Research Service)</t>
  </si>
  <si>
    <t>Funding for this work was provided by the U.S. Department of Agriculture-Agricultural Research Service appropriated project 2034-22000-012-000-D.</t>
  </si>
  <si>
    <t>10.1094/PHYTO-09-21-0386-R</t>
  </si>
  <si>
    <t>3G4VV</t>
  </si>
  <si>
    <t>WOS:000823015700001</t>
  </si>
  <si>
    <t>Cui, Y; Zhang, F; Xu, J; Li, Z; Xu, S</t>
  </si>
  <si>
    <t>Cui, Y.; Zhang, F.; Xu, J.; Li, Z.; Xu, S.</t>
  </si>
  <si>
    <t>Mapping quantitative trait loci in selected breeding populations: A segregation distortion approach</t>
  </si>
  <si>
    <t>ORYZA-SATIVA L.; MARKER-ASSISTED SELECTION; MAXIMUM-LIKELIHOOD; MOLECULAR MARKERS; GRAIN-YIELD; RICE; VIABILITY; LINKAGE; INTROGRESSION; DISSECTION</t>
  </si>
  <si>
    <t>Quantitative trait locus (QTL) mapping is often conducted in line-crossing experiments where a sample of individuals is randomly selected from a pool of all potential progeny. QTLs detected from such an experiment are important for us to understand the genetic mechanisms governing a complex trait, but may not be directly relevant to plant breeding if they are not detected from the breeding population where selection is targeting for. QTLs segregating in one population may not necessarily segregate in another population. To facilitate marker-assisted selection, QTLs must be detected from the very population which the selection is targeting. However, selected breeding populations often have depleted genetic variation with small population sizes, resulting in low power in detecting useful QTLs. On the other hand, if selection is effective, loci controlling the selected trait will deviate from the expected Mendelian segregation ratio. In this study, we proposed to detect QTLs in selected breeding populations via the detection of marker segregation distortion in either a single population or multiple populations using the same selection scheme. Simulation studies showed that QTL can be detected in strong selected populations with selected population sizes as small as 25 plants. We applied the new method to detect QTLs in two breeding populations of rice selected for high grain yield. Seven QTLs were identified, four of which have been validated in advanced generations in a follow-up study. Cloned genes in the vicinity of the four QTLs were also reported in the literatures. This mapping-by-selection approach provides a new avenue for breeders to improve breeding progress. The new method can be applied to breeding programs not only in rice but also in other agricultural species including crops, trees and animals.</t>
  </si>
  <si>
    <t>[Cui, Y.; Zhang, F.; Xu, J.; Li, Z.] Chinese Acad Agr Sci, Inst Crop Sci, Natl Key Facil Crop Gene Resources &amp; Genet Improv, Beijing 100081, Peoples R China; [Cui, Y.; Xu, S.] Univ Calif Riverside, Dept Bot &amp; Plant Sci, Riverside, CA 92521 USA; [Xu, J.] Chinese Acad Agr Sci, Agr Genom Inst, Shenzhen, Peoples R China</t>
  </si>
  <si>
    <t>Chinese Academy of Agricultural Sciences; Institute of Crop Sciences, CAAS; University of California System; University of California Riverside; Chinese Academy of Agricultural Sciences; Agriculture Genomes Institute at Shenzhen, CAAS</t>
  </si>
  <si>
    <t>Li, Z (corresponding author), Chinese Acad Agr Sci, Inst Crop Sci, Natl Key Facil Crop Gene Resources &amp; Genet Improv, Beijing 100081, Peoples R China.</t>
  </si>
  <si>
    <t>lizhikang@caas.cn; shizhong.xu@ucr.edu</t>
  </si>
  <si>
    <t>United States Department of Agriculture National Institute of Food and Agriculture [2007-02784]; National Natural Science Foundation of China-Consultative Group on International Agriculture Research (NSFC-CGIAR) [31261140369]; 863 GSR grants [2014AA10A601]; Shenzhen Peacock Plan grant; BMGF grant [GD1393]; Monsanto</t>
  </si>
  <si>
    <t>United States Department of Agriculture National Institute of Food and Agriculture(United States Department of Agriculture (USDA)); National Natural Science Foundation of China-Consultative Group on International Agriculture Research (NSFC-CGIAR); 863 GSR grants; Shenzhen Peacock Plan grant; BMGF grant; Monsanto</t>
  </si>
  <si>
    <t>The project was supported by the United States Department of Agriculture National Institute of Food and Agriculture Grant 2007-02784 to SX, The National Natural Science Foundation of China-Consultative Group on International Agriculture Research (NSFC-CGIAR #31261140369) to ZL, The 863 GSR grants (2014AA10A601) and Shenzhen Peacock Plan and BMGF grants (GD1393) to ZL. Yanru Cui was supported by the Beachell-Borlaug International Student Fellowship from Monsanto.</t>
  </si>
  <si>
    <t>10.1038/hdy.2015.56</t>
  </si>
  <si>
    <t>CW6QU</t>
  </si>
  <si>
    <t>WOS:000365123300008</t>
  </si>
  <si>
    <t>Lewis, CD; Smith, KF; Jacobs, JL; Ho, CKM; Leddin, CM; Malcolm, B</t>
  </si>
  <si>
    <t>Lewis, Claire D.; Smith, Kevin F.; Jacobs, Joe L.; Ho, Christie K. M.; Leddin, Clare M.; Malcolm, Bill</t>
  </si>
  <si>
    <t>Using a two-price market value method to value extra pasture DM in different seasons</t>
  </si>
  <si>
    <t>Grazing systems; Plant breeding; Pasture index</t>
  </si>
  <si>
    <t>NONIRRIGATED DAIRY FARMS; FORAGE CROP SYSTEMS; ECONOMIC VALUE; SOUTHERN AUSTRALIA; PERSISTENCE; CULTIVARS; VICTORIA; OPTIONS; COSTS; MILK</t>
  </si>
  <si>
    <t>The challenges of estimating the value of growing and using extra pasture to the farm business often necessitates using complex systems modelling of individual farms. In this paper, a straightforward market value method is outlined, where technical substitutes for which there is a defined market price are used as proxies to estimate an equivalent value for extra pasture used in a farm system. The method can be useful for all grazed livestock production systems where substitutes for pasture are purchased and sold. The two-price approach presented advances on previous applications of using market values by accounting for differences in the value of extra pasture DM used on farm in different seasons. The value per extra kg DM harvested in seasons when pasture typically limits livestock production, for example during summer/autumn in temperate environments, and used on farm equates to the market price of the replacement cost as purchased supplementary feed. This is the maximum the extra pasture DM could be worth when used in the farm system. Conversely, the value per extra kg DM harvested in spring when extra pasture is likely to be in surplus of livestock requirements, equates to its market price if sold, as standing hay for example, termed the salvage value. This two-price approach was applied to value the previously published seasonal DM yield differences of 19 perennial ryegrass cultivars, compared to an industry standard cultivar, grown in three regions of Victoria, Australia. Results were then compared to the value of extra pasture DM previously estimated using system simulation analyses of three farms and applied to the same perennial ryegrass data set. The difference in the value of extra pasture DM estimated using the two methods ranged from $0.01/kg DM to $0.24/kg DM. Overall, the two-price method estimated an extra $24 to $200/ha.year benefit over the industry standard cultivar for the 19 cultivars across the three regions, similar to the extra $0 to similar to $180/ha.year estimated by the previous system simulation analysis. The two-price market value method can be an efficient way to estimate the value of extra seasonal DM yield of pasture, with results easily generalised across a range of farming systems.</t>
  </si>
  <si>
    <t>[Lewis, Claire D.; Jacobs, Joe L.] Agr Victoria Res, 1301 Hazeldean Rd, Ellinbank, Vic 3821, Australia; [Lewis, Claire D.; Smith, Kevin F.; Malcolm, Bill] Univ Melbourne, Fac Vet &amp; Agr Sci, Melbourne, Vic 3010, Australia; [Smith, Kevin F.] Agr Victoria Res, 915 Mt Napier Rd, Hamilton, Vic 3300, Australia; [Ho, Christie K. M.] Agr Victoria Res, 5 Ring Rd, Bundoora, Vic 3083, Australia; [Leddin, Clare M.] Agr Victoria Res, 703-709 Raglan Parade, Warrnambool, Vic 3280, Australia</t>
  </si>
  <si>
    <t>University of Melbourne</t>
  </si>
  <si>
    <t>Lewis, CD (corresponding author), Agr Victoria Res, 1301 Hazeldean Rd, Ellinbank, Vic 3821, Australia.</t>
  </si>
  <si>
    <t>claire.lewis@agriculture.vic.gov.au</t>
  </si>
  <si>
    <t>; Smith, Kevin/K-5157-2015</t>
  </si>
  <si>
    <t>Lewis, Claire/0009-0004-1855-7568; Smith, Kevin/0000-0001-6828-7480</t>
  </si>
  <si>
    <t>Victorian Department of Jobs, Precincts and Regions; Dairy Australia; Gardiner Dairy Foundation; University of Melbourne</t>
  </si>
  <si>
    <t>Victorian Department of Jobs, Precincts and Regions; Dairy Australia(Dairy Australia); Gardiner Dairy Foundation; University of Melbourne(University of Melbourne)</t>
  </si>
  <si>
    <t>This work was funded by the Victorian Department of Jobs, Precincts and Regions, Dairy Australia, the Gardiner Dairy Foundation, and The University of Melbourne. The authors would also like to acknowledge Dairy Australia for providing the historic regional feed price data.</t>
  </si>
  <si>
    <t>10.1016/j.agsy.2019.102729</t>
  </si>
  <si>
    <t>LB9UC</t>
  </si>
  <si>
    <t>WOS:000524974800027</t>
  </si>
  <si>
    <t>Wang, J; Podlich, DW; Cooper, M; DeLacy, IH</t>
  </si>
  <si>
    <t>Power of the joint segregation analysis method for testing mixed major-gene and polygene inheritance models of quantitative traits</t>
  </si>
  <si>
    <t>joint segregation analysis (JSA); mixed inheritance model; osmotic adjustment; power analysis; QU-GENE</t>
  </si>
  <si>
    <t>OSMOTIC ADJUSTMENT</t>
  </si>
  <si>
    <t>Understanding the genetic architecture of quantitative traits can greatly assist the design of strategies for their manipulation in plant-breeding programs. For a number of traits, genetic variation can be the result of segregation of a few major genes and many polygenes (minor genes). The joint segregation analysis (JSA) is a maximum-likelihood approach for fitting segregation models through the simultaneous use of phenotypic information from multiple generations. Our objective in this paper was to use computer simulation to quantify the power of the JSA method for testing the mixed-inheritance model for quantitative traits when it was applied to the six basic generations: both parents (P-1 and P-2), F-1, F-2, and both backcross generations (B-1 and B-2) derived from crossing the F-1 to each parent. A total of 1968 genetic model-experiment scenarios were considered in the simulation study to quantify the power of the method. Factors that interacted to influence the power of the JSA method to correctly detect genetic models were: (1) whether there were one or two major genes in combination with polygenes, (2) the heritability of the major genes and polygenes, (3) the level of dispersion of the major genes and polygenes between the two parents, and (4) the number of individuals examined in each generation (population size). The greatest levels of power were observed for the genetic models defined with simple inheritance; e.g., the power was greater than 90% for the one major gene model, regardless of the population size and major-gene heritability. Lower levels of power were observed for the genetic models with complex inheritance (major genes and polygenes), low heritability, small population sizes and a large dispersion of favourable genes among the two parents; e.g., the power was less than 5% for the two major-gene model with a heritability value of 0.3 and population sizes of 100 individuals. The JSA methodology was then applied to a previously studied sorghum data-set to investigate the genetic control of the putative drought resistance-trait osmotic adjustment in three crosses. The previous study concluded that there were two major genes segregating for osmotic adjustment in the three crosses. Application of the JSA method resulted in a change in the proposed genetic model. The presence of the two major genes was confirmed with the addition of an unspecified number of polygenes.</t>
  </si>
  <si>
    <t>Univ Queensland, Sch Land &amp; Food Sci, Brisbane, Qld 4072, Australia; CIMMYT, Wheat Program, Mexico City 06600, DF, Mexico</t>
  </si>
  <si>
    <t>University of Queensland; CGIAR; International Maize &amp; Wheat Improvement Center (CIMMYT)</t>
  </si>
  <si>
    <t>Univ Queensland, Sch Land &amp; Food Sci, Brisbane, Qld 4072, Australia.</t>
  </si>
  <si>
    <t>d.podlich@mailbox.uq.edu.au</t>
  </si>
  <si>
    <t>10.1007/s001220100628</t>
  </si>
  <si>
    <t>486WK</t>
  </si>
  <si>
    <t>WOS:000171839800019</t>
  </si>
  <si>
    <t>Shit, V; Dhakar, MK; Kumar, M</t>
  </si>
  <si>
    <t>Shit, Vivek; Dhakar, Mahesh Kumar; Kumar, Manoj</t>
  </si>
  <si>
    <t>Integrated Transcriptomics and Metabolomics Studies Reveal Steroid Biosynthesis Pathway and BCL2 Inhibitory Diazo-Progesterone of Drimia indica for Conservation and Sustainable Utilization</t>
  </si>
  <si>
    <t>CURRENT PHARMACEUTICAL BIOTECHNOLOGY</t>
  </si>
  <si>
    <t>De-novo sequencing; secondary metabolites; SSR markers; GC-MS; molecular docking simulation</t>
  </si>
  <si>
    <t>ACID; ANTIOXIDANT; 2-METHOXY-4-VINYLPHENOL; IDENTIFICATION; ANTIFUNGAL; NAGARJUNAE; GENERATION; COMPOUND; PLATFORM; GENES</t>
  </si>
  <si>
    <t>Background: This study is the first report on the sequence of the transcriptome of Drimia indica, a non-model plant with medicinal properties found in a forest tribal belt, using the Illumina NovaSeq platform. The primary objectives of this study were to elucidate the gene expression profiles in different tissues, identify key regulatory genes and pathways involved in secondary metabolite biosynthesis, and explore the plant's potential pharmacological properties. Methods: The study generated 670087 unigenes from both leaves and roots and identified putative homologs of annotated sequences against UniProt/Swiss-Prot and KEGG databases. The functional annotation of the identified unigenes revealed the secondary metabolite biosynthetic process as the most prominent pathway, with gene enrichment analysis predominantly accounting for secondary metabolite pathways, such as terpenoid, steroid, flavonoid, alkaloid, selenocompound, and cortisol synthesis. The study also identified regulatory genes NAC, Bhlh, WRKY, and C2H2 on the transcriptome dataset. Results: The functionally annotated unigenes suggested phytocompounds in Drimia indica to have multi-potent properties, such as anti-cancer, anti-inflammatory, and anti-diabetic activities, which has been further validated by GC-MS-based metabolite profiling. Notably, we have identified two novel molecules, di-azo progesterone and 4H-pyran-4-one 2,3-dihydro-3,5-dihydroxy-6-methyl, with potential BCL2 inhibitory anticancer properties, supported by stable binding interactions observed in molecular docking and dynamics simulations. Additionally, an abundance of mono-nucleotide SSR markers has been identified, useful for genetic diversity studies. Conclusion: This study provides a foundational understanding of the molecular mechanisms in Drimia indica, highlighting its potential as a source for novel therapeutic agents and contributing valuable insights for future pharmacological and agricultural applications. However, further in vivo studies are warranted to confirm these findings and validate their pharmacological efficacy and therapeutic potential. The SSR markers identified also offer valuable tools for molecular genetics, plant breeding, and sustainable drug development.</t>
  </si>
  <si>
    <t>[Shit, Vivek; Kumar, Manoj] Cent Univ Jharkhand, Dept Life Sci, Ranchi 835222, Jharkhand, India; [Dhakar, Mahesh Kumar] ICAR RCER, Farming Syst Res Ctr Hill &amp; Plateau Reg, Ranchi 834010, Jharkhand, India</t>
  </si>
  <si>
    <t>Central University of Jharkhand; Indian Council of Agricultural Research (ICAR); ICAR - ICAR Research Complex for Eastern Region</t>
  </si>
  <si>
    <t>Kumar, M (corresponding author), Cent Univ Jharkhand, Dept Life Sci, Ranchi 835222, Jharkhand, India.</t>
  </si>
  <si>
    <t>manoj@cuj.ac.in</t>
  </si>
  <si>
    <t>Shit, Vivek/0000-0003-3446-8712</t>
  </si>
  <si>
    <t>University Grants Commission (UGC), India [F. 82- 44/2020 (SA-III)]</t>
  </si>
  <si>
    <t>University Grants Commission (UGC), India(University Grants Commission, India)</t>
  </si>
  <si>
    <t>This research was funded by the University Grants Commission (UGC), India, under fellowship no. F. 82- 44/2020 (SA-III).</t>
  </si>
  <si>
    <t>BENTHAM SCIENCE PUBL LTD</t>
  </si>
  <si>
    <t>SHARJAH</t>
  </si>
  <si>
    <t>EXECUTIVE STE Y-2, PO BOX 7917, SAIF ZONE, 1200 BR SHARJAH, U ARAB EMIRATES</t>
  </si>
  <si>
    <t>1389-2010</t>
  </si>
  <si>
    <t>1873-4316</t>
  </si>
  <si>
    <t>CURR PHARM BIOTECHNO</t>
  </si>
  <si>
    <t>Curr. Pharm. Biotechnol.</t>
  </si>
  <si>
    <t>2024 OCT 9</t>
  </si>
  <si>
    <t>10.2174/0113892010322778240927073617</t>
  </si>
  <si>
    <t>OCT 2024</t>
  </si>
  <si>
    <t>Biochemistry &amp; Molecular Biology; Pharmacology &amp; Pharmacy</t>
  </si>
  <si>
    <t>J4M3G</t>
  </si>
  <si>
    <t>WOS:001336817000001</t>
  </si>
  <si>
    <t>Nishio, M; Satoh, M</t>
  </si>
  <si>
    <t>Nishio, Motohide; Satoh, Masahiro</t>
  </si>
  <si>
    <t>Genomic best linear unbiased prediction method including imprinting effects for genomic evaluation</t>
  </si>
  <si>
    <t>QUANTITATIVE TRAIT LOCI; GENOTYPE-IMPUTATION; BREEDING PROGRAMS; POPULATIONS; GROWTH; CATTLE; SELECTION; INFORMATION; PERFORMANCE; ACCURACY</t>
  </si>
  <si>
    <t>Background: Genomic best linear unbiased prediction (GBLUP) is a statistical method used to predict breeding values using single nucleotide polymorphisms for selection in animal and plant breeding. Genetic effects are often modeled as additively acting marker allele effects. However, the actual mode of biological action can differ from this assumption. Many livestock traits exhibit genomic imprinting, which may substantially contribute to the total genetic variation of quantitative traits. Here, we present two statistical models of GBLUP including imprinting effects (GBLUP-I) on the basis of genotypic values (GBLUP-I1) and gametic values (GBLUP-I2). The performance of these models for the estimation of variance components and prediction of genetic values across a range of genetic variations was evaluated in simulations. Results: Estimates of total genetic variances and residual variances with GBLUP-I1 and GBLUP-I2 were close to the true values and the regression coefficients of total genetic values on their estimates were close to 1. Accuracies of estimated total genetic values in both GBLUP-I methods increased with increasing degree of imprinting and broad-sense heritability. When the imprinting variances were equal to 1.4% to 6.0% of the phenotypic variances, the accuracies of estimated total genetic values with GBLUP-I1 exceeded those with GBLUP by 1.4% to 7.8%. In comparison with GBLUP-I1, the superiority of GBLUP-I2 over GBLUP depended strongly on degree of imprinting and difference in genetic values between paternal and maternal alleles. When paternal and maternal alleles were predicted (phasing accuracy was equal to 0.979), accuracies of the estimated total genetic values in GBLUP-I1 and GBLUP-I2 were 1.7% and 1.2% lower than when paternal and maternal alleles were known. Conclusions: This simulation study shows that GBLUP-I1 and GBLUP-I2 can accurately estimate total genetic variance and perform well for the prediction of total genetic values. GBLUP-I1 is preferred for genomic evaluation, while GBLUP-I2 is preferred when the imprinting effects are large, and the genetic effects differ substantially between sexes.</t>
  </si>
  <si>
    <t>[Nishio, Motohide; Satoh, Masahiro] NARO Inst Livestock &amp; Grassland Sci, Tsukuba, Ibaraki 3050901, Japan</t>
  </si>
  <si>
    <t>National Agriculture &amp; Food Research Organization - Japan</t>
  </si>
  <si>
    <t>Nishio, M (corresponding author), NARO Inst Livestock &amp; Grassland Sci, Ikenodai 2, Tsukuba, Ibaraki 3050901, Japan.</t>
  </si>
  <si>
    <t>mtnishio@affrc.go.jp</t>
  </si>
  <si>
    <t>APR 19</t>
  </si>
  <si>
    <t>10.1186/s12711-015-0091-y</t>
  </si>
  <si>
    <t>CG3QP</t>
  </si>
  <si>
    <t>WOS:000353195000001</t>
  </si>
  <si>
    <t>Niehoff, TAM; ten Napel, J; Calus, MPL</t>
  </si>
  <si>
    <t>Niehoff, Tobias A. M.; ten Napel, Jan; Calus, Mario P. L.</t>
  </si>
  <si>
    <t>Prediction of additive genetic variances of descendants for complex families based on Mendelian sampling variances</t>
  </si>
  <si>
    <t>Mendelian sampling variance; Mendelian sampling; usefulness criterion; progeny variance; within-family selection; multiparental crosses; Index5; genomic selection; response to selection; genetic variance</t>
  </si>
  <si>
    <t>The ability to predict the outcome of selection and mating decisions enables breeders to make strategically better selection decisions. To improve genetic progress, those individuals need to be selected whose offspring can be expected to show high genetic variance next to high breeding values. Previously published approaches enable to predict the variance of descendants of 2 future generations for up to 4 founding haplotypes, or 2 outbred individuals, based on phased genotypes, allele effects, and recombination frequencies. The purpose of this study was to develop a general approach for the analytical calculation of the genetic variance in any future generation. The core development is an equation for the prediction of the variance of double haploid lines, under the assumption of no selection and negligible drift, stemming from an arbitrary number of founder haplotypes. This double haploid variance can be decomposed into gametic Mendelian sampling variances (MSVs) of ancestors of the double haploid lines allowing usage for non-double haploid genotypes that enables application in animal breeding programs as well as in plant breeding programs. Together with the breeding values of the founders, the gametic MSV may be used in new selection criteria. We present our idea of such a criterion that describes the genetic level of selected individuals in 4 generations. Since breeding programs do select, the assumption made for predicting variances is clearly violated, which decreases the accuracy of predicted gametic MSV caused by changes in allele frequency and linkage disequilibrium. Despite violating the assumption, we found high predictive correlations of our criterion to the true genetic level that was obtained by means of simulation for the corn and cattle genome models tested in this study (0.90 and 0.97). In practice, the genotype phases, genetic map, and allele effects all need to be estimated meaning inaccuracies in their estimation will lead to inaccurate variance prediction. Investigation of variance prediction accuracy when input parameters are estimated was not part of this study.</t>
  </si>
  <si>
    <t>[Niehoff, Tobias A. M.; ten Napel, Jan; Calus, Mario P. L.] Wageningen Univ &amp; Res, Anim Breeding &amp; Genom, Droevendaalsesteeg 1,POB 338, NL-6700 AH Wageningen, Netherlands</t>
  </si>
  <si>
    <t>Niehoff, TAM (corresponding author), Wageningen Univ &amp; Res, Anim Breeding &amp; Genom, Droevendaalsesteeg 1,POB 338, NL-6700 AH Wageningen, Netherlands.</t>
  </si>
  <si>
    <t>tobias.niehoff@wur.nl</t>
  </si>
  <si>
    <t>Calus, Mario/H-7627-2019</t>
  </si>
  <si>
    <t>Niehoff, Tobias/0000-0003-3046-6699; Calus, Mario/0000-0002-3213-704X</t>
  </si>
  <si>
    <t>Dutch Ministry of Economic Affairs (TKI Agri Food Project) [LWV20054]; Breed 4 Food partners Cobb Europe (Colchester, Essex, United Kingdom); CRV (Arnhem, The Netherlands); Hendrix Genetics (Boxmeer, The Netherlands); Topigs Norsvin (Helvoirt, The Netherlands)</t>
  </si>
  <si>
    <t>Dutch Ministry of Economic Affairs (TKI Agri Food Project); Breed 4 Food partners Cobb Europe (Colchester, Essex, United Kingdom); CRV (Arnhem, The Netherlands)(Netherlands Government); Hendrix Genetics (Boxmeer, The Netherlands)(Netherlands Government); Topigs Norsvin (Helvoirt, The Netherlands)(Netherlands Government)</t>
  </si>
  <si>
    <t>This study was financially supported by the Dutch Ministry of Economic Affairs (TKI Agri &amp; Food Project LWV20054) and the Breed 4 Food partners Cobb Europe (Colchester, Essex, United Kingdom), CRV (Arnhem, The Netherlands), Hendrix Genetics (Boxmeer, The Netherlands), and Topigs Norsvin (Helvoirt, The Netherlands)</t>
  </si>
  <si>
    <t>SEP 27</t>
  </si>
  <si>
    <t>10.1093/g3journal/jkae205</t>
  </si>
  <si>
    <t>L4X6R</t>
  </si>
  <si>
    <t>WOS:001320359200001</t>
  </si>
  <si>
    <t>Yamasaki, M; Wright, SI; Mcmullen, MD</t>
  </si>
  <si>
    <t>Yamasaki, Masanori; Wright, Stephen I.; Mcmullen, Michael D.</t>
  </si>
  <si>
    <t>Genomic screening for artificial selection during domestication and improvement in maize</t>
  </si>
  <si>
    <t>ANNALS OF BOTANY</t>
  </si>
  <si>
    <t>maize; Zea mays L. ssp mays; teosinte; Zea mays subspecies parviglumis; agronomic traits; artificial selection; domestication; plant breeding; DNA sequence; genetic diversity; HKA ( Hudson-Kreitman-Aguade) test; bottleneck; coalescent simulation</t>
  </si>
  <si>
    <t>QUANTITATIVE TRAIT LOCUS; NEUTRAL ALLELE MODEL; LINKAGE DISEQUILIBRIUM; MORPHOLOGICAL DIFFERENCES; ORYZA-RUFIPOGON; HORDEUM-VULGARE; FLOWERING TIME; WILD-RICE; MAYS L.; DIVERSITY</t>
  </si>
  <si>
    <t>Background Artificial selection results in phenotypic evolution. Maize ( Zea mays L. ssp. mays) was domesticated from its wild progenitor teosinte ( Zea mays subspecies parviglumis) through a single domestication event in southern Mexico between 6000 and 9000 years ago. This domestication event resulted in the original maize landrace varieties. The landraces provided the genetic material for modern plant breeders to select improved varieties and inbred lines by enhancing traits controlling agricultural productivity and performance. Artificial selection during domestication and crop improvement involved selection of specific alleles at genes controlling key morphological and agronomic traits, resulting in reduced genetic diversity relative to unselected genes. Scope This review is a summary of research on the identification and characterization by population genetics approaches of genes affected by artificial selection in maize. Conclusions Analysis of DNA sequence diversity at a large number of genes in a sample of teosintes and maize inbred lines indicated that approx. 2 % of maize genes exhibit evidence of artificial selection. The remaining genes give evidence of a population bottleneck associated with domestication and crop improvement. In a second study to efficiently identify selected genes, the genes with zero sequence diversity in maize inbreds were chosen as potential targets of selection and sequenced in diverse maize landraces and teosintes, resulting in about half of candidate genes exhibiting evidence for artificial selection. Extended gene sequencing demonstrated a low false-positive rate in the approach. The selected genes have functions consistent with agronomic selection for plant growth, nutritional quality and maturity. Large-scale screening for artificial selection allows identification of genes of potential agronomic importance even when gene function and the phenotype of interest are unknown. These approaches should also be applicable to other domesticated species if specific demographic conditions during domestication exist.</t>
  </si>
  <si>
    <t>Univ Missouri, Div Plant Sci, Columbia, MO 65211 USA; Japan Soc Promot Sci, Tokyo 1028471, Japan; York Univ, Dept Biol, N York, ON M3J 1P3, Canada; ARS, Plant Genet Res Unit, USDA, Columbia, MO 65211 USA</t>
  </si>
  <si>
    <t>University of Missouri System; University of Missouri Columbia; Japan Society for the Promotion of Science; York University - Canada; University of Missouri System; University of Missouri Columbia; United States Department of Agriculture (USDA)</t>
  </si>
  <si>
    <t>Yamasaki, M (corresponding author), Kobe Univ, Food Resources Educ &amp; Res Ctr, Kasai, Hyogo 6752103, Japan.</t>
  </si>
  <si>
    <t>yamasakim@tiger.kobe-u.ac.jp</t>
  </si>
  <si>
    <t>Yamasaki, Masanori/C-5193-2018; Wright, Stephen/C-3113-2008</t>
  </si>
  <si>
    <t>Yamasaki, Masanori/0000-0001-7759-3965; Wright, Stephen/0000-0001-9973-9697</t>
  </si>
  <si>
    <t>0305-7364</t>
  </si>
  <si>
    <t>ANN BOT-LONDON</t>
  </si>
  <si>
    <t>Ann. Bot.</t>
  </si>
  <si>
    <t>10.1093/aob/mcm173</t>
  </si>
  <si>
    <t>227NQ</t>
  </si>
  <si>
    <t>hybrid, Green Submitted, Green Published</t>
  </si>
  <si>
    <t>WOS:000250663800007</t>
  </si>
  <si>
    <t>Li, YJ; Dungey, HS</t>
  </si>
  <si>
    <t>Li, Yongjun; Dungey, Heidi S.</t>
  </si>
  <si>
    <t>Expected benefit of genomic selection over forward selection in conifer breeding and deployment</t>
  </si>
  <si>
    <t>SOMATIC EMBRYOGENESIS; NEW-ZEALAND; LINKAGE DISEQUILIBRIUM; NUCLEOTIDE DIVERSITY; PINUS-RADIATA; POPULATION; FORESTRY; ACCURACY; MODELS; GENES</t>
  </si>
  <si>
    <t>Genomic selection is a proven technology in animal and plant breeding to accelerate genetic gain, but as yet is to be fully realised in forest tree breeding. This paper examines, through stochastic simulation, the potential benefits of genomic selection (GS) over forward selection (FS) in a typical conifer breeding program. Methods of speeding the deployment of selected material were also considered, including top-grafting onto mature seed orchard ortets, using additional replicates of clones in archives for crossing, and embryogenesis and clonal propagation. Genetic gain per generation was found to increase considerably when the size of the training population was larger (800 c.f. 3000 clones), or when the heritability was higher (0.2 c.f. 0.5). The largest genetic gain, of 24% was achieved where large training populations (3000 clones) and high heritability traits (0.5) were combined. The accuracy of genomic breeding values (GEBVs) increased with the increase in the number of clones in the training population, the heritability of the trait and the density of the SNP markers. Calculated accuracies of simulated GEBVs and genetic gain per unit of time suggested that 2000 clones in the training population is the minimum size for effective genomic selection for conifers. Compared with forward selection, genomic selection with 2000 clones in the training population, and a 60K SNP panel, an increase of 1.58 mm per year in diameter-at-breastheight (DBH) and 2.44 kg/m(3) per year for wood density can be expected. After one generation (9-years), this would be equivalent to 14.23 mm and 21.97 kg/m(3) for DBH and wood density respectively. Deploying clones of the selected individuals always resulted in higher additional genetic gain than deploying progeny/seedlings. Deploying genetic material selected from genomic selection with top-grafting for early coning appeared to be the best option. Application of genomic selection to conifer breeding programs, combined with deployment tools such as top-grafting and embryogenesis are powerful tools to speed the delivery of genetic gain to the forest.</t>
  </si>
  <si>
    <t>[Li, Yongjun; Dungey, Heidi S.] Scion New Zealand Forest Res Inst, Rotorua, New Zealand; [Li, Yongjun] DEDJTR, AgriBio Ctr, Agr Victoria, Bundoora, Vic, Australia</t>
  </si>
  <si>
    <t>Agriculture Victoria</t>
  </si>
  <si>
    <t>Li, YJ (corresponding author), Scion New Zealand Forest Res Inst, Rotorua, New Zealand.;Li, YJ (corresponding author), DEDJTR, AgriBio Ctr, Agr Victoria, Bundoora, Vic, Australia.</t>
  </si>
  <si>
    <t>Yongjun.Li@ecodev.vic.gov.au</t>
  </si>
  <si>
    <t>Dungey, Heidi/0000-0003-2589-3928</t>
  </si>
  <si>
    <t>Radiata Pine Breeding Company (RPBC) [RPBC1301]; Ministry of Business, Innovation and Employment (MBIE) of New Zealand [RPBC1301]; Scion Strategic Science Investment Funding; New Zealand Ministry of Business, Innovation &amp; Employment (MBIE) [RPBC1301] Funding Source: New Zealand Ministry of Business, Innovation &amp; Employment (MBIE)</t>
  </si>
  <si>
    <t>Radiata Pine Breeding Company (RPBC); Ministry of Business, Innovation and Employment (MBIE) of New Zealand(New Zealand Ministry of Business, Innovation and Employment (MBIE)); Scion Strategic Science Investment Funding; New Zealand Ministry of Business, Innovation &amp; Employment (MBIE)(New Zealand Ministry of Business, Innovation and Employment (MBIE))</t>
  </si>
  <si>
    <t>The Radiata Pine Breeding Company (RPBC) and the Ministry of Business, Innovation and Employment (MBIE) of New Zealand Jointly funded this research through the RPBC Genomic Selection Partnership with a grant number RPBC1301. The Scion Strategic Science Investment Funding also supported this research. Both funding bodies approved the overall work plan and monitored progress of the research, and approved to publish this manuscript.</t>
  </si>
  <si>
    <t>DEC 10</t>
  </si>
  <si>
    <t>e0208232</t>
  </si>
  <si>
    <t>10.1371/journal.pone.0208232</t>
  </si>
  <si>
    <t>HD6JR</t>
  </si>
  <si>
    <t>WOS:000452644700015</t>
  </si>
  <si>
    <t>Paleari, L; Li, T; Yang, YB; Wilson, LT; Hasegawa, T; Boote, KJ; Buis, S; Hoogenboom, G; Gao, YJ; Movedi, E; Ruget, F; Singh, U; Stöckle, CO; Tang, L; Wallach, D; Zhu, Y; Confalonieri, R</t>
  </si>
  <si>
    <t>Paleari, Livia; Li, Tao; Yang, Yubin; Wilson, Lloyd T.; Hasegawa, Toshihiro; Boote, Kenneth J.; Buis, Samuel; Hoogenboom, Gerrit; Gao, Yujing; Movedi, Ermes; Ruget, Francoise; Singh, Upendra; Stockle, Claudio O.; Tang, Liang; Wallach, Daniel; Zhu, Yan; Confalonieri, Roberto</t>
  </si>
  <si>
    <t>A trait-based model ensemble approach to design rice plant types for future climate</t>
  </si>
  <si>
    <t>GLOBAL CHANGE BIOLOGY</t>
  </si>
  <si>
    <t>AgMIP; climate change; crop modelling; genotypic adaptation; ideotype; Oryza sativa L</t>
  </si>
  <si>
    <t>GLOBAL SENSITIVITY-ANALYSIS; GRAIN-YIELD; CROP; SIMULATION; WATER; WHEAT; PARAMETERIZATION; PRODUCTIVITY; PERFORMANCE; DISSECTION</t>
  </si>
  <si>
    <t>Crop models are powerful tools to support breeding because of their capability to explore genotype x environmentxmanagement interactions that can help design promising plant types under climate change. However, relationships between plant traits and model parameters are often model specific and not necessarily direct, depending on how models formulate plant morphological and physiological features. This hinders model application in plant breeding. We developed a novel trait-based multi-model ensemble approach to improve the design of rice plant types for future climate projections. We conducted multi-model simulations targeting enhanced productivity, and aggregated results into model-ensemble sets of phenotypic traits as defined by breeders rather than by model parameters. This allowed to overcome the limitations due to ambiguities in trait-parameter mapping from single modelling approaches. Breeders' knowledge and perspective were integrated to provide clear mapping from designed plant types to breeding traits. Nine crop models from the AgMIP-Rice Project and sensitivity analysis techniques were used to explore trait responses under different climate and management scenarios at four sites. The method demonstrated the potential of yield improvement that ranged from 15.8% to 41.5% compared to the current cultivars under mid-century climate projections. These results highlight the primary role of phenological traits to improve crop adaptation to climate change, as well as traits involved with canopy development and structure. The variability of plant types derived with different models supported model ensembles to handle related uncertainty. Nevertheless, the models agreed in capturing the effect of the heterogeneity in climate conditions across sites on key traits, highlighting the need for context-specific breeding programmes to improve crop adaptation to climate change. Although further improvement is needed for crop models to fully support breeding programmes, a trait-based ensemble approach represents a major step towards the integration of crop modelling and breeding to address climate change challenges and develop adaptation options.</t>
  </si>
  <si>
    <t>[Paleari, Livia; Movedi, Ermes; Confalonieri, Roberto] Univ Milan, Cassandra Lab, ESP, Via Celoria 2, I-20133 Milan, Italy; [Li, Tao] DNDC Applicat Res &amp; Training, Durham, NH USA; [Yang, Yubin; Wilson, Lloyd T.] Texas A&amp;M AgriLife Res Ctr, Beaumont, TX USA; [Hasegawa, Toshihiro] Natl Agr &amp; Food Res Org, Inst Agroenvironm Sci, Tsukuba, Ibaraki, Japan; [Boote, Kenneth J.; Hoogenboom, Gerrit; Gao, Yujing; Wallach, Daniel] Univ Florida, Dept Agr &amp; Biol Engn, Gainesville, FL USA; [Buis, Samuel; Ruget, Francoise] INRAE, UMR1114 EMMAH, Avignon, France; [Singh, Upendra] Int Fertilizer Dev Ctr IFDC, Muscle Shoals, AL USA; [Stockle, Claudio O.] Washington State Univ, Biol Syst Engn, Pullman, WA 99164 USA; [Tang, Liang; Zhu, Yan] Nanjing Agr Univ, MARA Key Lab Crop Syst Anal &amp; Decis Making, Jiangsu Key Lab Informat Agr, Nanjing, Peoples R China; [Wallach, Daniel] Natl Inst Agr Res INRA, UMR Agroecol Innovat &amp; Terr AGIR 1248, Castanet Tolosan, France</t>
  </si>
  <si>
    <t>University of Milan; National Agriculture &amp; Food Research Organization - Japan; State University System of Florida; University of Florida; INRAE; Washington State University; Nanjing Agricultural University; INRAE</t>
  </si>
  <si>
    <t>Paleari, L; Confalonieri, R (corresponding author), Univ Milan, Cassandra Lab, ESP, Via Celoria 2, I-20133 Milan, Italy.</t>
  </si>
  <si>
    <t>livia.paleari@unimi.it; roberto.confalonieri@unimi.it</t>
  </si>
  <si>
    <t>Li, Tao/N-2730-2019; Zhu, Yan/AAK-6927-2020; Buis, Samuel/IAR-1793-2023; Hasegawa, Toshihiro/H-8211-2019; Hoogenboom, Gerrit/F-3946-2010; Wilson, Lloyd/E-9971-2011; Gao, Yujing/HHC-0699-2022</t>
  </si>
  <si>
    <t>Boote, Kenneth/0000-0002-1358-5496; Li, Tao/0000-0002-1360-1396; Hasegawa, Toshihiro/0000-0001-8501-5612; Buis, Samuel/0000-0002-8676-5447</t>
  </si>
  <si>
    <t>Environmental Restoration and Conservation Agency of Japan [JPMEERF20S11820]</t>
  </si>
  <si>
    <t>Environmental Restoration and Conservation Agency of Japan</t>
  </si>
  <si>
    <t>Environmental Restoration and Conservation Agency of Japan, Grant/Award Number: JPMEERF20S11820</t>
  </si>
  <si>
    <t>1354-1013</t>
  </si>
  <si>
    <t>1365-2486</t>
  </si>
  <si>
    <t>GLOBAL CHANGE BIOL</t>
  </si>
  <si>
    <t>Glob. Change Biol.</t>
  </si>
  <si>
    <t>10.1111/gcb.16087</t>
  </si>
  <si>
    <t>JAN 2022</t>
  </si>
  <si>
    <t>Biodiversity &amp; Conservation; Environmental Sciences &amp; Ecology</t>
  </si>
  <si>
    <t>ZS9EB</t>
  </si>
  <si>
    <t>WOS:000749649500001</t>
  </si>
  <si>
    <t>Tóth, S; Pepó, P</t>
  </si>
  <si>
    <t>Studies on basic maize breeding stocks</t>
  </si>
  <si>
    <t>NOVENYTERMELES</t>
  </si>
  <si>
    <t>Hungarian</t>
  </si>
  <si>
    <t>plant breeding; mutation breeding of maize (Zea mays L.); fast neutron; diallel analysis; general combining ability (GCA); specific combining ability (SCA)</t>
  </si>
  <si>
    <t>Due to specific breeding aims and gene erosion the genetic basis of maize breeding has decreased significantly in Hungary in recent decades, with well-known unfavourable effects. Many foreign hybrids are used in maize production, the genetic background of which is restricted a few inbred lines, In order to decrease the genetic vulnerability, it is very important to widen the base for maize breeding using various methods. One way of increasing genetic variability is through treatment with various mutagens. Within a programme started in 1979-80, F-1 maize hybrid seeds were treated with radiation from the Co-60 isotope. Later, in 1985, the trial was expanded and the seeds were treated with radiation from fast neutrons at the Atomic Research Institute of the Hungarian Academy of Sciences in Debrecen. Selected mutant lines developed in this way have been self-pollinated for several years. These homogeneous lines formed the plant material in the present trials, based on two complete diallel systems ('A' and 'B'). The two diallel systems were examined by applying a modified version of the DIALLEL Analysis and Simulation programme (BUROW-COORS, 1993), according to the GRIFFING 1 method (1956). In the case of diallel system 'A', line A13 and its hybrids (A3 and A10) had the highest combining abilities, compared to the standard and the other hybrids, and produced outstanding yields in all three years examined. Lines B15 and B16, which had excellent GCA, were always found among the parents of hybrids B3, B6, B9 and B10, which had outstanding productivity. This was proved by the results of all the three years. Due to the low productivity observed in all three years, hybrids B1 and B4 and their parent lines, which bad low GCA values, were eliminated from further breeding projects. The others were able to equal or exceed the productivity of the standard hybrid in all three years, so the best of them will be subjected to further testing and, if satisfactory results are obtained, in the development of new hybrids in the future.</t>
  </si>
  <si>
    <t>Debreceni Egyetem, Agrartudomanyi Centrum, H-4015 Debrecen, Hungary</t>
  </si>
  <si>
    <t>University of Debrecen</t>
  </si>
  <si>
    <t>Tóth, S (corresponding author), Debreceni Egyetem, Agrartudomanyi Centrum, PF 36, H-4015 Debrecen, Hungary.</t>
  </si>
  <si>
    <t>ALLAMI NYOMDA</t>
  </si>
  <si>
    <t>BUDAPEST</t>
  </si>
  <si>
    <t>KAPISZTRAN TER 1, 1 BUDAPEST, HUNGARY</t>
  </si>
  <si>
    <t>0546-8191</t>
  </si>
  <si>
    <t>Novenytermeles</t>
  </si>
  <si>
    <t>823MQ</t>
  </si>
  <si>
    <t>WOS:000221617500002</t>
  </si>
  <si>
    <t>Gil, J; Andrade-Martínez, JS; Duitama, J</t>
  </si>
  <si>
    <t>Gil, Juanita; Andrade-Martinez, Juan Sebastian; Duitama, Jorge</t>
  </si>
  <si>
    <t>Accurate, Efficient and User-Friendly Mutation Calling and Sample Identification for TILLING Experiments</t>
  </si>
  <si>
    <t>FRONTIERS IN GENETICS</t>
  </si>
  <si>
    <t>software; mutagenesis; functional genomics; TILLING; variants detection</t>
  </si>
  <si>
    <t>TILLING (Targeting Induced Local Lesions IN Genomes) is a powerful reverse genetics method in plant functional genomics and breeding to identify mutagenized individuals with improved behavior for a trait of interest. Pooled high throughput sequencing (HTS) of the targeted genes allows efficient identification and sample assignment of variants within genes of interest in hundreds of individuals. Although TILLING has been used successfully in different crops and even applied to natural populations, one of the main issues for a successful TILLING experiment is that most currently available bioinformatics tools for variant detection are not designed to identify mutations with low frequencies in pooled samples or to perform sample identification from variants identified in overlapping pools. Our research group maintains the Next Generation Sequencing Experience Platform (NGSEP), an open source solution for analysis of HTS data. In this manuscript, we present three novel components within NGSEP to facilitate the design and analysis of TILLING experiments: a pooled variants detector, a sample identifier from variants detected in overlapping pools and a simulator of TILLING experiments. A new implementation of the NGSEP calling model for variant detection allows accurate detection of low frequency mutations within pools. The samples identifier implements the process to triangulate the mutations called within overlapping pools in order to assign mutations to single individuals whenever possible. Finally, we developed a complete simulator of TILLING experiments to enable benchmarking of different tools and to facilitate the design of experimental alternatives varying the number of pools and individuals per pool. Simulation experiments based on genes from the common bean genome indicate that NGSEP provides similar accuracy and better efficiency than other tools to perform pooled variants detection. To the best of our knowledge, NGSEP is currently the only tool that generates individual assignments of the mutations discovered from the pooled data. We expect that this development will be of great use for different groups implementing TILLING as an alternative for plant breeding and even to research groups performing pooled sequencing for other applications.</t>
  </si>
  <si>
    <t>[Gil, Juanita; Duitama, Jorge] Univ Los Andes, Syst &amp; Comp Engn Dept, Bogota, Colombia; [Andrade-Martinez, Juan Sebastian] Univ Los Andes, Dept Biol Sci, Res Grp Computat Biol &amp; Microbial Ecol, Bogota, Colombia; [Andrade-Martinez, Juan Sebastian] Univ Los Andes, Max Planck Tandem Grp Computat Biol, Bogota, Colombia; [Gil, Juanita] Univ Arkansas, Dept Entomol &amp; Plant Pathol, Fayetteville, AR 72701 USA</t>
  </si>
  <si>
    <t>Universidad de los Andes (Colombia); Universidad de los Andes (Colombia); Universidad de los Andes (Colombia); University of Arkansas System; University of Arkansas Fayetteville</t>
  </si>
  <si>
    <t>Duitama, J (corresponding author), Univ Los Andes, Syst &amp; Comp Engn Dept, Bogota, Colombia.</t>
  </si>
  <si>
    <t>ja.duitama@uniandes.edu.co</t>
  </si>
  <si>
    <t>Duitama, Jorge/I-6484-2019</t>
  </si>
  <si>
    <t>Duitama, Jorge/0000-0002-9105-6266; Andrade-Martinez, Juan Sebastian/0000-0001-7852-630X</t>
  </si>
  <si>
    <t>Universidad de los Andes through the FAPA initiative</t>
  </si>
  <si>
    <t>This work was supported by internal funds of Universidad de los Andes through the FAPA initiative led by the Vice-presidency of Research and Knowledge Creation.</t>
  </si>
  <si>
    <t>1664-8021</t>
  </si>
  <si>
    <t>FRONT GENET</t>
  </si>
  <si>
    <t>Front. Genet.</t>
  </si>
  <si>
    <t>FEB 3</t>
  </si>
  <si>
    <t>10.3389/fgene.2021.624513</t>
  </si>
  <si>
    <t>QH8QP</t>
  </si>
  <si>
    <t>WOS:000618537300001</t>
  </si>
  <si>
    <t>Gapare, W; Liu, SM; Conaty, W; Zhu, QH; Gillespie, V; Llewellyn, D; Stiller, W; Wilson, I</t>
  </si>
  <si>
    <t>Gapare, Washington; Liu, Shiming; Conaty, Warren; Zhu, Qian-Hao; Gillespie, Vanessa; Llewellyn, Danny; Stiller, Warwick; Wilson, Iain</t>
  </si>
  <si>
    <t>Historical Datasets Support Genomic Selection Models for the Prediction of Cotton Fiber Quality Phenotypes Across Multiple Environments</t>
  </si>
  <si>
    <t>Genomic prediction; Genomic selection; Bayesian models; marker x environment interaction; Gossypium hirsutum; GenPred; Shared Data Resources</t>
  </si>
  <si>
    <t>REACTION NORM MODEL; POPULATION-STRUCTURE; ENABLED PREDICTION; COMPLEX TRAITS; REGRESSION; PLANT; ACCURACY; PEDIGREE; SIMULATION; ANIMALS</t>
  </si>
  <si>
    <t>Genomic selection (GS) has successfully been used in plant breeding to improve selection efficiency and reduce breeding time and cost. However, there has not been a study to evaluate GS prediction models that may be used for predicting cotton breeding lines across multiple environments. In this study, we evaluated the performance of Bayes Ridge Regression, BayesA, BayesB, BayesC and Reproducing Kernel Hilbert Spaces regression models. We then extended the single-site GS model to accommodate genotype x environment interaction (GxE) in order to assess the merits of multi- over single-environment models in a practical breeding and selection context in cotton, a crop for which this has not previously been evaluated. Our study was based on a population of 215 upland cotton (Gossypium hirsutum) breeding lines which were evaluated for fiber length and strength at multiple locations in Australia and genotyped with 13,330 single nucleotide polymorphic (SNP) markers. BayesB, which assumes unique variance for each marker and a proportion of markers to have large effects, while most other markers have zero effect, was the preferred model. GS accuracy for fiber length based on a single-site model varied across sites, ranging from 0.27 to 0.77 (mean = 0.38), while that of fiber strength ranged from 0.19 to 0.58 (mean = 0.35) using randomly selected sub-populations as the training population. Prediction accuracies from the MxE model were higher than those for single-site and across-site models, with an average accuracy of 0.71 and 0.59 for fiber length and strength, respectively. The use of the MxE model could therefore identify which breeding lines have effects that are stable across environments and which ones are responsible for GxE and so reduce the amount of phenotypic screening required in cotton breeding programs to identify adaptable genotypes.</t>
  </si>
  <si>
    <t>[Gapare, Washington; Zhu, Qian-Hao; Gillespie, Vanessa; Llewellyn, Danny; Wilson, Iain] CSIRO Agr &amp; Food, GPO Box 1600, Canberra, ACT 2601, Australia; [Liu, Shiming; Conaty, Warren; Stiller, Warwick] CSIRO Agr &amp; Food, Locked Bag 59, Narrabri, NSW 2390, Australia</t>
  </si>
  <si>
    <t>Commonwealth Scientific &amp; Industrial Research Organisation (CSIRO); Agriculture &amp; Food; Commonwealth Scientific &amp; Industrial Research Organisation (CSIRO)</t>
  </si>
  <si>
    <t>Gapare, W (corresponding author), CSIRO Agr &amp; Food, Black Mt Sci &amp; Innovat Pk,Clunies Ross St, Acton, ACT 2601, Australia.</t>
  </si>
  <si>
    <t>Washington.Gapare@csiro.au</t>
  </si>
  <si>
    <t>Wilson, Iain/D-4839-2009; Zhu, Qian-Hao/A-1298-2010; Conaty, Warren/B-8153-2011; Gapare, Washington/I-2938-2012</t>
  </si>
  <si>
    <t>Conaty, Warren/0000-0003-1278-153X; Zhu, Qian-Hao/0000-0002-6505-7417; Wilson, Iain/0000-0002-4626-8059; Gapare, Washington/0000-0002-9787-8543</t>
  </si>
  <si>
    <t>Cotton Breeding Australia</t>
  </si>
  <si>
    <t>Cotton Breeding Australia(Cotton R&amp;D Corp)</t>
  </si>
  <si>
    <t>This study was financially supported by Cotton Breeding Australia, a joint venture between CSIRO and Cotton Seed Distributors. The authors would like to thank technical staff of CSIRO cotton breeding group as well as past cotton breeders, for their invaluable contribution to this work. We also thank Rowan Bunch and Dr. Bill Barendse for processing and help with the analysis of the Illumina CottonSNP63K assays. The authors thank Dr. Klara Verbyla for constructive discussions on GS and reviews of the initial drafts of the manuscript by Drs Sonya Dominik and Yutao Li which greatly improved the manuscript. We also appreciate the comments and suggestions from the journal reviewers that improved the readability of the manuscript.</t>
  </si>
  <si>
    <t>10.1534/g3.118.200140</t>
  </si>
  <si>
    <t>GF7ZW</t>
  </si>
  <si>
    <t>WOS:000432188000032</t>
  </si>
  <si>
    <t>WADE, LJ; DOUGLAS, ACL; MAYER, DG</t>
  </si>
  <si>
    <t>DEFINING TRAITS FOR SELECTION USING ISOPOPULATIONS OF SORGHUM</t>
  </si>
  <si>
    <t>SORGHUM; SORGHUM BICOLOR; ISOPOPULATIONS; SELECTION; PHENOLOGY; TIME TO FLOWERING; PLANT HEIGHT; GRAIN YIELD</t>
  </si>
  <si>
    <t>ARID TROPICAL ENVIRONMENT; GRAIN-SORGHUM; COMPARATIVE PRODUCTIVITY; WATER LIMITATION; YIELD STABILITY; PEARL-MILLET; GROWTH; GENOTYPE; MATURITY; PHENOLOGY</t>
  </si>
  <si>
    <t>Sorghum is grown in the subtropics in north-eastern Australia, where production is risky due to limited planting opportunities and highly variable rainfall during the crop cycle. To improve grain yields of sorghum there, plant breeders have adopted the empirical approach of selecting directly for grain yield, because traits likely to confer improved adaptation have not: been clearly defined. Even for readily-observed traits such as maturity type, no clear selection goal had been identified for this highly variable environment. This paper examined the use of isopopulations as a tool for defining traits for selection in plant breeding programs, and discussed the merits of this approach relative to other alternatives. Phenology of sorghum in north-eastern Australia was used as a case study. Isopopulations differing in maturity were developed from three populations of sorghum, and were grown in five contrasting locations. For stable grain yields, the best time to flowering was consistently about 1200 day-degrees using a base temperature of 7 degrees C (or about 60 days to flowering for midsummer plantings in Central Queensland). This result was in accord with other direct experimental evidence, but contrasted with recent simulations reported in the literature, which suggested a longer crop duration was preferred. Our conclusions were that the crop model failed to extend growth duration in response to water stress, thereby increasing the yield expectation for a later flowering hybrid in a poor season. The simulations also assumed a full profile of soil water at planting in every season, which would have provided a different outcome from simulations in which conditions prior to planting were permitted to impact antecedent soil water. The strengths and weaknesses of experimental and simulation approaches were discussed, before concluding that the comprehensive evaluation of traits may best be accomplished by a combination of approaches: analysis of variety trial data, direct comparisons using isopopulations or isolines, and appropriate use of a validated crop model.</t>
  </si>
  <si>
    <t>QUEENSLAND DEPT PRIMARY IND, EMERALD, QLD 4720, AUSTRALIA; QUEENSLAND DEPT PRIMARY IND, BRISBANE, QLD 4001, AUSTRALIA</t>
  </si>
  <si>
    <t>Queensland Department of Agriculture &amp; Fisheries; Queensland Department of Agriculture &amp; Fisheries</t>
  </si>
  <si>
    <t>WADE, Len J./A-8872-2008; Mayer, David/F-8616-2011</t>
  </si>
  <si>
    <t>WADE, Len J./0000-0002-1321-4310; Mayer, David/0000-0001-9564-9176</t>
  </si>
  <si>
    <t>NH187</t>
  </si>
  <si>
    <t>WOS:A1993NH18700010</t>
  </si>
  <si>
    <t>Postma, JA; Schurr, U; Fiorani, F</t>
  </si>
  <si>
    <t>Postma, Johannes A.; Schurr, Ulrich; Fiorani, Fabio</t>
  </si>
  <si>
    <t>Dynamic root growth and architecture responses to limiting nutrient availability: linking physiological models and experimentation</t>
  </si>
  <si>
    <t>BIOTECHNOLOGY ADVANCES</t>
  </si>
  <si>
    <t>Resource use efficiency; Low fertility soils; Abiotic stress; Root growth; Root architecture; Modeling; Nutrient uptake; Phenotyping; Non-invasive; Biomass allocation</t>
  </si>
  <si>
    <t>QUANTITATIVE TRAIT LOCI; ZEA-MAYS L.; MAIZE INBRED LINES; SYSTEM ARCHITECTURE; PLANT-GROWTH; LOW PHOSPHORUS; USE EFFICIENCY; WATER-USE; ARABIDOPSIS-THALIANA; CORTICAL AERENCHYMA</t>
  </si>
  <si>
    <t>In recent years the study of root phenotypic plasticity in response to sub-optimal environmental factors and the genetic control of these responses have received renewed attention. As a path to increased productivity, in particular for low fertility soils, several applied research projects worldwide target the improvement of crop root traits both in plant breeding and biotechnology contexts. To assist these tasks and address the challenge of optimizing root growth and architecture for enhanced mineral resource use, the development of realistic simulation models is of great importance. We review this research field from a modeling perspective focusing particularly on nutrient acquisition strategies for crop production on low nitrogen and low phosphorous soils. Soil heterogeneity and the dynamics of nutrient availability in the soil pose a challenging environment in which plants have to forage efficiently for nutrients in order to maintain their internal nutrient homeostasis throughout their life cycle. Mathematical models assist in understanding plant growth strategies and associated root phenes that have potential to be tested and introduced in physiological breeding programs. At the same time, we stress that it is necessary to carefully consider model assumptions and development from a whole plant-resource allocation perspective and to introduce or refine modules simulating explicitly root growth and architecture dynamics through ontogeny with reference to key factors that constrain root growth. In this view it is important to understand negative feedbacks such as plant-plant competition. We conclude by briefly touching on available and developing technologies for quantitative root phenotyping from lab to field, from quantification of partial root profiles in the field to 3D reconstruction of whole root systems. Finally, we discuss how these approaches can and should be tightly linked to modeling to explore the root phenome. (C) 2013 Elsevier Inc. All rights reserved.</t>
  </si>
  <si>
    <t>[Postma, Johannes A.; Schurr, Ulrich; Fiorani, Fabio] Forschungszentrum Julich, Inst Bio &amp; Geosci, IBG2 Plant Sci, D-52425 Julich, Germany</t>
  </si>
  <si>
    <t>Helmholtz Association; Research Center Julich</t>
  </si>
  <si>
    <t>Fiorani, F (corresponding author), Forschungszentrum Julich, Inst Bio &amp; Geosci, IBG2 Plant Sci, Leo Brandt Str, D-52425 Julich, Germany.</t>
  </si>
  <si>
    <t>j.postma@fz-juelich.de; u.schurr@fz-juelich.de; f.fiorani@fz-juelich.de</t>
  </si>
  <si>
    <t>Schurr, Ulrich/AAA-3158-2022; Fiorani, Fabio/F-4171-2011; Postma, Johannes/X-4292-2018</t>
  </si>
  <si>
    <t>Postma, Johannes/0000-0002-5222-6648; Fiorani, Fabio/0000-0001-8775-1541</t>
  </si>
  <si>
    <t>Helmholtz Association; state of North Rhine-Westphalia [005-1105-0035]; German Federal Ministry of Education and Research [0315964D]; CROPSENSE.net-BMBF [0315531C]; German Plant Phenotyping Network [031A053]; European Plant Phenotyping Network-EPPN FP7 Capacities Programme [284443]; EUROOT-FP7-KBBE [289300]; Academy of Finland (AKA) [284443] Funding Source: Academy of Finland (AKA)</t>
  </si>
  <si>
    <t>Helmholtz Association(Helmholtz Association); state of North Rhine-Westphalia; German Federal Ministry of Education and Research(Federal Ministry of Education &amp; Research (BMBF)); CROPSENSE.net-BMBF; German Plant Phenotyping Network; European Plant Phenotyping Network-EPPN FP7 Capacities Programme; EUROOT-FP7-KBBE; Academy of Finland (AKA)(Research Council of Finland)</t>
  </si>
  <si>
    <t>The authors wish to express their gratitude towards Larry York for providing the shovelomics picture, Dr. Kerstin Nagel for providing the rhizotron picture, and Dr. Dagmar v. Dusschoten for the rendering of the MRI image. This research received support of the Forschungszentrum Julich in the Helmholtz Association. Root biology research at IBG2 Plant Sciences is institutionally funded by the Helmholtz Association and supported by third-party projects of the state of North Rhine-Westphalia (PhenoCrops-project number 005-1105-0035), the German Federal Ministry of Education and Research (PreBreedYield-BMBF Fz. 0315964D, CROPSENSE.net-BMBF Fz. 0315531C, and the German Plant Phenotyping Network - DPPN-BMBF Fz. 031A053), and the European Union (European Plant Phenotyping Network-EPPN FP7 Capacities Programme, grant agreement No. 284443; EUROOT-FP7-KBBE, grant agreement No. 289300).</t>
  </si>
  <si>
    <t>0734-9750</t>
  </si>
  <si>
    <t>1873-1899</t>
  </si>
  <si>
    <t>BIOTECHNOL ADV</t>
  </si>
  <si>
    <t>Biotechnol. Adv.</t>
  </si>
  <si>
    <t>10.1016/j.biotechadv.2013.08.019</t>
  </si>
  <si>
    <t>Biotechnology &amp; Applied Microbiology</t>
  </si>
  <si>
    <t>AB8PC</t>
  </si>
  <si>
    <t>WOS:000332051500006</t>
  </si>
  <si>
    <t>Olita, T; Cao, ZL; Gibberd, M</t>
  </si>
  <si>
    <t>Olita, Toto; Cao, Zhanglong; Gibberd, Mark</t>
  </si>
  <si>
    <t>Economic analysis of crop protection strategies: comparing the value of increased fungicide inputs and crop genetic improvement in managing Ascochyta blight in Australian chickpeas</t>
  </si>
  <si>
    <t>PEST MANAGEMENT SCIENCE</t>
  </si>
  <si>
    <t>agribusiness; breeding for resistance; chickpeas; crop protection; plant pathogen; utility theory</t>
  </si>
  <si>
    <t>ADOPTION; UNCERTAINTY; MANAGEMENT; RABIEI; RANGE; RISK</t>
  </si>
  <si>
    <t>BACKGROUNDGenetic improvement of crop varieties requires significant investment. Therefore, varieties must be developed to suit a broad range of breeding targets, such as yield and suitability to rainfall zones, farm management practices and quality traits. In the case of breeding for disease resistance, breeders need to consider the value of genetic improvement relative to other disease management strategies and the dynamics of pathogen genetic and phenotypic diversity. This study uses a benefit-cost analysis framework to assess the economic value of fungicide management and crop genetic improvement in disease resistance for Australian chickpea varieties.RESULTSWhen assessing the likelihood of growers switching to new crop varieties with improved genetic resistance to disease, the simulation results reveal that adopting these varieties yielded higher net benefit values compared to implementing current fungicide strategies across all rainfall zones. On average, the increase in net benefit varied between 2.6% and 3.5%. Conversely, when we examined the scenario involving modifying the current fungicide strategy, we observed that, on average, switching from the current fungicide management strategy to one which involved additional fungicides was beneficial in about 73% of the cases.CONCLUSIONOur analysis reveals the importance of factors such as commodity prices, production costs, disease-related variables and risk aversion in determining the economic benefits of adopting new crop protection strategies. Furthermore, the research reveals the need for accessible information and reliable data sources when evaluating the benefits of new agricultural technologies. This would assist growers in making informed and sustainable disease management decisions. (c) 2024 The Author(s). Pest Management Science published by John Wiley &amp; Sons Ltd on behalf of Society of Chemical Industry. When crop disease epidemics occur during the growing season, they can cause substantial yield losses, leading to unrecoverable financial losses. Our research highlights the value of plant breeding strategies that are aligned with each grower's individual risk tolerance to effectively mitigate the impact of these adverse conditions. image</t>
  </si>
  <si>
    <t>[Olita, Toto; Cao, Zhanglong; Gibberd, Mark] Curtin Univ, Ctr Crop &amp; Dis Management, Bentley, WA 6845, Australia</t>
  </si>
  <si>
    <t>Curtin University</t>
  </si>
  <si>
    <t>Olita, T (corresponding author), Curtin Univ, Ctr Crop &amp; Dis Management, Bentley, WA 6845, Australia.</t>
  </si>
  <si>
    <t>toto.olita@curtin.edu.au</t>
  </si>
  <si>
    <t>Olita, Toto/F-2190-2015</t>
  </si>
  <si>
    <t>Olita, Toto/0000-0002-3247-3756</t>
  </si>
  <si>
    <t>Grains Research and Development Corporation (GRDC) and Curtin University [CUR00023]</t>
  </si>
  <si>
    <t>Grains Research and Development Corporation (GRDC) and Curtin University</t>
  </si>
  <si>
    <t>T.O. would like to thank Rob Lee, Lars Kamphuis and Anjana Sharma for their feedback and support. We gratefully acknowledge funding support from the Grains Research and Development Corporation (GRDC) and Curtin University (project number CUR00023). Open access publishing facilitated by Curtin University, as part of the Wiley - Curtin University agreement via the Council of Australian University Librarians.</t>
  </si>
  <si>
    <t>JOHN WILEY &amp; SONS LTD</t>
  </si>
  <si>
    <t>CHICHESTER</t>
  </si>
  <si>
    <t>THE ATRIUM, SOUTHERN GATE, CHICHESTER PO19 8SQ, W SUSSEX, ENGLAND</t>
  </si>
  <si>
    <t>1526-498X</t>
  </si>
  <si>
    <t>1526-4998</t>
  </si>
  <si>
    <t>PEST MANAG SCI</t>
  </si>
  <si>
    <t>Pest Manag. Sci.</t>
  </si>
  <si>
    <t>10.1002/ps.8319</t>
  </si>
  <si>
    <t>JUL 2024</t>
  </si>
  <si>
    <t>Agriculture; Entomology</t>
  </si>
  <si>
    <t>I4Z5K</t>
  </si>
  <si>
    <t>WOS:001273270700001</t>
  </si>
  <si>
    <t>Zhao, W; Zhang, ZY; Wang, Z; Ma, PP; Pan, YC; Wang, QS; Zhang, Z</t>
  </si>
  <si>
    <t>Zhao, Wei; Zhang, Zhenyang; Wang, Zhen; Ma, Peipei; Pan, Yuchun; Wang, Qishan; Zhang, Zhe</t>
  </si>
  <si>
    <t>Factors affecting the accuracy of genomic prediction in joint pig populations</t>
  </si>
  <si>
    <t>ANIMAL</t>
  </si>
  <si>
    <t>Across populations; Genetic relatedness; Joint breeding evaluation; Prediction methods; Simulation</t>
  </si>
  <si>
    <t>GENETIC CONNECTEDNESS; TRAITS; INFORMATION; PEDIGREE; HOLSTEIN; HERDS; SET</t>
  </si>
  <si>
    <t>Genomic prediction (GP) has greatly advanced animal and plant breeding over the past two decades. GP in joint populations isa feasible method to improve the accuracy of genomic estimated breeding values in small populations. However, there is still a need to understand the factors that influence GP in joint populations. This study used simulated data and real data from Duroc pig populations to examine the impact of linkage disequilibrium (LD), causal variants effect sizes (CVESs), and minor allele frequencies (MAF) of SNPs on the accuracy of genomic prediction in joint populations. Three prediction methods were used: genomic best linear unbiased prediction (GBLUP), single-step GBLUP and multi-trait GBLUP. Results from the simulated datasets showed that the accuracies of GP in joint populations were always higher than those in a single population when only LD inconsistencies existed. However, single-step GBLUP accuracy in joint populations decreased as the correlation of MAF between populations decreased, while the accuracy of GBLUP is consistently higher in joint populations than in a single population. As the correlation of CVES between populations decreased, the accuracy of both GBLUP and single-step GBLUP in joint populations declined. Analysis of real Duroc populations showed low genetic correlation, similar to the simulated relationship between the most distant populations. In most cases in Duroc populations, GP have higher accuracies in joint populations than in individual population. In conclusion, the consistency of CVES plays a more important role in multi-population GP. The genetic relatedness of the Duroc populations is so weak that the prediction accuracy of GP in joint populations is reduced in some traits. Multitrait GBLUP is a competitive method for the joint breeding evaluation. (c) 2023 The Author(s). Published by Elsevier B.V. on behalf of The Animal Consortium. This is an open access article under the CC BY-NC-ND license (http://creativecommons.org/licenses/by-nc-nd/4.0/).</t>
  </si>
  <si>
    <t>[Zhang, Zhenyang; Wang, Zhen; Pan, Yuchun; Wang, Qishan; Zhang, Zhe] Zhejiang Univ, Coll Anim Sci, Dept Anim Sci, 866 Yuhangtang Rd, Hangzhou 310058, Peoples R China; [Zhao, Wei; Ma, Peipei] Shanghai Jiao Tong Univ, Sch Agr &amp; Biol, Dept Anim Sci, 800 Dongchuan Rd, Shanghai 200240, Peoples R China; [Pan, Yuchun; Wang, Qishan] Zhejiang Univ, Hainan Inst, Yazhou Bay Sci &amp; Technol City, Yongyou Ind Pk, Sanya 572000, Peoples R China</t>
  </si>
  <si>
    <t>Zhejiang University; Shanghai Jiao Tong University; Zhejiang University</t>
  </si>
  <si>
    <t>Zhang, Z (corresponding author), Zhejiang Univ, Coll Anim Sci, Dept Anim Sci, 866 Yuhangtang Rd, Hangzhou 310058, Peoples R China.</t>
  </si>
  <si>
    <t>zhe_zhang@zju.edu.cn</t>
  </si>
  <si>
    <t>Zhang, Zhao/S-2072-2016; Wang, Qishan/LMQ-2121-2024</t>
  </si>
  <si>
    <t>Wang, Qishan/0000-0002-6475-0009</t>
  </si>
  <si>
    <t>Zhejiang Provincial Key RAD Pro-gram of China [2021C02008, 2021C02068]; National Natural Science Foundation of China [32272832]</t>
  </si>
  <si>
    <t>Zhejiang Provincial Key RAD Pro-gram of China; National Natural Science Foundation of China(National Natural Science Foundation of China (NSFC))</t>
  </si>
  <si>
    <t>Financial support statement This research is supported by Zhejiang Provincial Key RAD Pro-gram of China (2021C02008, 2021C02068) and National Natural Science Foundation of China (32272832) .</t>
  </si>
  <si>
    <t>1751-7311</t>
  </si>
  <si>
    <t>1751-732X</t>
  </si>
  <si>
    <t>Animal</t>
  </si>
  <si>
    <t>10.1016/j.animal.2023.100980</t>
  </si>
  <si>
    <t>Agriculture; Veterinary Sciences</t>
  </si>
  <si>
    <t>W0IU5</t>
  </si>
  <si>
    <t>WOS:001088560500001</t>
  </si>
  <si>
    <t>Rahimi-Moghaddam, S; Deihimfard, R; Azizi, K; Roostaei, M</t>
  </si>
  <si>
    <t>Rahimi-Moghaddam, Sajjad; Deihimfard, Reza; Azizi, Khosro; Roostaei, Mozaffar</t>
  </si>
  <si>
    <t>Characterizing spatial and temporal trends in drought patterns of rainfed wheat (Triticum aestivum L.) across various climatic conditions: A modelling approach</t>
  </si>
  <si>
    <t>APSIM crop model; Clustering; Virtual genotype; Simulation; Plant breeding; Climate classes</t>
  </si>
  <si>
    <t>UPLAND RICE; SOIL-WATER; STRESS; SORGHUM; IMPACT; MAIZE; ERROR; APSIM; YIELD</t>
  </si>
  <si>
    <t>Drought is considered one of the most common and challenging environmental stresses in the agricultural production worldwide. For improving the rainfed crop yields in the drought-prone environments, understanding the seasonal patterns of drought events in the target environments is crucial. This study applies the APSIM (Agricultural Production Systems sIMulator) crop model to interpret drought stress impact on a check genotype (early-maturity genotype) and mid- and late-maturity genotypes in 69 sites and 16 climate classes with climate data from over 37 years representing the rainfed wheat agro-ecosystems in Iran. Four drought patterns were recognized across the 16 regions. Water stress was dominant during grain filling (41 %) and around flowering (56 %) in studying regions. This stress varied over different genotypes and climate classes. Furthermore, results showed that under current management practices and using the check genotype, about half of the regions in the rainfed wheat agro-ecosystems of Iran (-1.7 million ha) are frequently subject to severe drought patterns (50 %) resulting in a loss of grain yield of -2 t ha-1. Replacing a common genotype with an extra early-maturity genotype, however, reduced by 44 % the occurrence of severe drought patterns which simultaneously increased the occurrence of light-moderate drought stress (i.e. DP1 and DP2) in the warm regions. In general, planting the extra early-maturity genotype had the advantage of producing higher yields in the driest regions. Sowing this genotype reduced the variability in grain yield and the frequency of severe drought patterns in the warm regions. On the contrary, in rainy and cold regions, the best-yielding genotypes were those with a longer growth period. Therefore, in rainy and cold regions with light-moderate stress conditions, the breeders should focus on earlymaturity and mid-maturity genotypes. Besides, it is suggested that the late-maturity genotype should be used in rainy regions with a reduced risk of drought stress.</t>
  </si>
  <si>
    <t>[Rahimi-Moghaddam, Sajjad; Azizi, Khosro] Lorestan Univ, Fac Agr, Dept Agron &amp; Plant Breeding, Khorramabad, Iran; [Deihimfard, Reza] Shahid Beheshti Univ, Environm Sci Res Inst, Dept Agroecol, Tehran 1983969411, Iran; [Roostaei, Mozaffar] AREEO, Dryland Agr Res Inst DARI, Maragheh, Iran</t>
  </si>
  <si>
    <t>Lorestan University; Shahid Beheshti University</t>
  </si>
  <si>
    <t>Deihimfard, R (corresponding author), Shahid Beheshti Univ, Environm Sci Res Inst, Dept Agroecol, Tehran 1983969411, Iran.</t>
  </si>
  <si>
    <t>deihim@sbu.ac.ir</t>
  </si>
  <si>
    <t>Deihimfard, Reza/GZG-2267-2022; Azizi, Khosro/JNE-8828-2023; Rahimi-Moghaddam, Sajjad/AAA-1429-2022</t>
  </si>
  <si>
    <t>Deihimfard, Reza/0000-0001-8251-6315</t>
  </si>
  <si>
    <t>10.1016/j.eja.2021.126333</t>
  </si>
  <si>
    <t>JUN 2021</t>
  </si>
  <si>
    <t>TI4IU</t>
  </si>
  <si>
    <t>WOS:000672763400002</t>
  </si>
  <si>
    <t>Deva, CR; Urban, MO; Challinor, AJ; Falloon, P; Svitakova, L</t>
  </si>
  <si>
    <t>Deva, Chetan R.; Urban, Milan O.; Challinor, Andrew J.; Falloon, Pete; Svitakova, Lenka</t>
  </si>
  <si>
    <t>Enhanced Leaf Cooling Is a Pathway to Heat Tolerance in Common Bean</t>
  </si>
  <si>
    <t>heat tolerance; common bean; leaf temperature depression; VPD; plant breeding; modeling; climate change adaptation</t>
  </si>
  <si>
    <t>CANOPY TEMPERATURE DEPRESSION; STOMATAL CONDUCTANCE; INDUCED STERILITY; STRESS; RICE; SIMULATION; METHODOLOGY; GENOTYPES; HUMIDITY; RUBISCO</t>
  </si>
  <si>
    <t>Common bean is the most consumed legume in the world and an important source of protein in Latin America, Eastern, and Southern Africa. It is grown in a variety of environments with mean air temperatures of between 14 degrees C and 35 degrees C and is more sensitive to high temperatures than other legumes. As global heating continues, breeding for heat tolerance in common bean is an urgent priority. Transpirational cooling has been shown to be an important mechanism for heat avoidance in many crops, and leaf cooling traits have been used to breed for both drought and heat tolerance. As yet, little is known about the magnitude of leaf cooling in common bean, nor whether this trait is functionally linked to heat tolerance. Accordingly, we explore the extent and genotypic variation of transpirational cooling in common bean. Our results show that leaf cooling is an important heat avoidance mechanism in common bean. On average, leaf temperatures are 5 degrees C cooler than air temperatures, and can range from between 13 degrees C cooler and 2 degrees C warmer. We show that the magnitude of leaf cooling keeps leaf temperatures within a photosynthetically functional range. Heat tolerant genotypes cool more than heat sensitive genotypes and the magnitude of this difference increases at elevated temperatures. Furthermore, we find that differences in leaf cooling are largest at the top of the canopy where determinate bush beans are most sensitive to the impact of high temperatures during the flowering period. Our results suggest that heat tolerant genotypes cool more than heat sensitive genotypes as a result of higher stomatal conductance and enhanced transpirational cooling. We demonstrate that it is possible to accurately simulate the temperature of the leaf by genotype using only air temperature and relative humidity. Our work suggests that greater leaf cooling is a pathway to heat tolerance. Bean breeders can use the difference between air and leaf temperature to screen for genotypes with enhanced capacity for heat avoidance. Once evaluated for a particular target population of environments, breeders can use our model for modeling leaf temperatures by genotype to assess the value of selecting for cooler beans.</t>
  </si>
  <si>
    <t>[Deva, Chetan R.; Challinor, Andrew J.] Univ Leeds, Sch Earth &amp; Environm, Inst Climate &amp; Atmospher Sci, Climate Impacts Grp, Leeds, W Yorkshire, England; [Urban, Milan O.] Int Ctr Trop Agr CIAT, Cali, Colombia; [Falloon, Pete] Hadley Ctr, Met Off, Exeter, Devon, England; [Svitakova, Lenka] Charles Univ Prague, Fac Sci, Dept Expt Plant Biol, Prague, Czech Republic</t>
  </si>
  <si>
    <t>University of Leeds; Alliance; International Center for Tropical Agriculture - CIAT; Met Office - UK; Hadley Centre; Charles University Prague</t>
  </si>
  <si>
    <t>Deva, CR (corresponding author), Univ Leeds, Sch Earth &amp; Environm, Inst Climate &amp; Atmospher Sci, Climate Impacts Grp, Leeds, W Yorkshire, England.</t>
  </si>
  <si>
    <t>C.R.Deva@leeds.ac.uk</t>
  </si>
  <si>
    <t>Challinor, Andrew/C-4992-2008</t>
  </si>
  <si>
    <t>Urban, Milan/0000-0002-3684-856X</t>
  </si>
  <si>
    <t>UK National Environmental Research Council Industrial Case Award; UK Met Office [NE/M009793/1]; CGIAR Research Program on Climate Change, Agriculture and Food Security (CCAFS); Met Office Hadley Centre Climate Programme - BEIS; Defra; Biotechnology and Biological Sciences Research Council (BBSRC) [BB/S018964/1]; BBSRC [BB/S018964/1] Funding Source: UKRI; NERC [1652933] Funding Source: UKRI; UKRI [BB/R022801/1] Funding Source: UKRI</t>
  </si>
  <si>
    <t>UK National Environmental Research Council Industrial Case Award; UK Met Office; CGIAR Research Program on Climate Change, Agriculture and Food Security (CCAFS); Met Office Hadley Centre Climate Programme - BEIS; Defra(Department for Environment, Food &amp; Rural Affairs (DEFRA)); Biotechnology and Biological Sciences Research Council (BBSRC)(UK Research &amp; Innovation (UKRI)Biotechnology and Biological Sciences Research Council (BBSRC)); BBSRC(UK Research &amp; Innovation (UKRI)Biotechnology and Biological Sciences Research Council (BBSRC)); NERC(UK Research &amp; Innovation (UKRI)Natural Environment Research Council (NERC)); UKRI(UK Research &amp; Innovation (UKRI))</t>
  </si>
  <si>
    <t>CD was supported by a UK National Environmental Research Council Industrial Case Award in collaboration with the UK Met Office NE/M009793/1. AC is supported by the CGIAR Research Program on Climate Change, Agriculture and Food Security (CCAFS), which is carried out with support from CGIAR Fund Donors and through bilateral funding agreements. For details please visit https://ccafs.cgiar.org/donors.PF was supported by the Met Office Hadley Centre Climate Programme funded by BEIS and Defra. MU was supported by a Biotechnology and Biological Sciences Research Council (BBSRC) funded project named Bean Breeding for Adaptation to a Changing Climate and Post-Conflict Colombia (BBACO). Grant number BB/S018964/1. The views expressed in this document cannot be taken to reflect the official opinions of these organizations.</t>
  </si>
  <si>
    <t>FEB 28</t>
  </si>
  <si>
    <t>10.3389/fpls.2020.00019</t>
  </si>
  <si>
    <t>LB5HM</t>
  </si>
  <si>
    <t>WOS:000524666200001</t>
  </si>
  <si>
    <t>Migault, V; Pallas, B; Costes, E</t>
  </si>
  <si>
    <t>Migault, Vincent; Pallas, Benoit; Costes, Evelyne</t>
  </si>
  <si>
    <t>Combining Genome-Wide Information with a Functional Structural Plant Model to Simulate 1-Year-Old Apple Tree Architecture</t>
  </si>
  <si>
    <t>FSPM; genome wide prediction; RR-BLUP; temperature effect; branching</t>
  </si>
  <si>
    <t>QUANTITATIVE GENETICS; SHOOT DEVELOPMENT; GROWTH; SELECTION; TRAITS; CROP; TEMPERATURE; PARAMETERIZATION; VARIABILITY; COMPETITION</t>
  </si>
  <si>
    <t>In crops, optimizing target traits in breeding programs can be fostered by selecting appropriate combinations of architectural traits which determine light interception and carbon acquisition. In apple tree, architectural traits were observed to be under genetic control. However, architectural traits also result from many organogenetic and morphological processes interacting with the environment. The present study aimed at combining a FSPM built for apple tree, MAppleT, with genetic determinisms of architectural traits, previously described in a bi-parental population. We focused on parameters related to organogenesis (phyllochron and immediate branching) and morphogenesis processes (internode length and leaf area) during the first year of tree growth. Two independent datasets collected in 2004 and 2007 on 116 genotypes, issued from a Starkrimson x Granny Smith cross, were used. The phyllochron was estimated as a function of thermal time and sylleptic branching was modeled subsequently depending on phyllochron. From a genetic map built with SNPs, marker effects were estimated on four MAppleT parameters with rrBLUP, using 2007 data. These effects were then considered in MAppleT to simulate tree development in the two climatic conditions. The genome wide prediction model gave consistent estimations of parameter values with correlation coefficients between observed values and estimated values from SNP markers ranging from 0.79 to 0.96. However, the accuracy of the prediction model following cross validation schemas was lower. Three integrative traits (the number of leaves, trunk length, and number of sylleptic laterals) were considered for validating MAppleT simulations. In 2007 climatic conditions, simulated values were close to observations, highlighting the correct simulation of genetic variability. However, in 2004 conditions which were not used for model calibration, the simulations differed from observations. This study demonstrates the possibility of integrating genome-based information in a FSPM for a perennial fruit tree. It also showed that further improvements are required for improving the prediction ability. Especially temperature effect should be extended and other factors taken into account for modeling GxE interactions. Improvements could also be expected by considering larger populations and by testing other genome wide prediction models. Despite these limitations, this study opens new possibilities for supporting plant breeding by in silico evaluations of the impact of genotypic polymorphisms on plant integrative phenotypes.</t>
  </si>
  <si>
    <t>[Migault, Vincent; Pallas, Benoit; Costes, Evelyne] INRA, UMR AGAP 1334, Equipe Architecture &amp; Fonctionnement Especes Frui, Montpellier, France</t>
  </si>
  <si>
    <t>INRAE</t>
  </si>
  <si>
    <t>Costes, E (corresponding author), INRA, UMR AGAP 1334, Equipe Architecture &amp; Fonctionnement Especes Frui, Montpellier, France.</t>
  </si>
  <si>
    <t>evelyne.costes@inra.fr</t>
  </si>
  <si>
    <t>ANR (Agence Nationale de la recherche) in the framework of the French-German ANR-DFG FSPMapple project [ANR-14-CE35-0017]; Agence Nationale de la Recherche (ANR) [ANR-14-CE35-0017] Funding Source: Agence Nationale de la Recherche (ANR)</t>
  </si>
  <si>
    <t>ANR (Agence Nationale de la recherche) in the framework of the French-German ANR-DFG FSPMapple project(Agence Nationale de la Recherche (ANR)); Agence Nationale de la Recherche (ANR)(Agence Nationale de la Recherche (ANR))</t>
  </si>
  <si>
    <t>The post doctoral fellowship of VM was funded by ANR (Agence Nationale de la recherche) in the framework of the French-German ANR-DFG FSPMapple project under the reference number ANR-14-CE35-0017.</t>
  </si>
  <si>
    <t>JAN 12</t>
  </si>
  <si>
    <t>10.3389/fpls.2016.02065</t>
  </si>
  <si>
    <t>EH6IZ</t>
  </si>
  <si>
    <t>WOS:000391877900001</t>
  </si>
  <si>
    <t>Williams, CG; Savolainen, O</t>
  </si>
  <si>
    <t>Inbreeding depression in conifers: Implications for breeding strategy</t>
  </si>
  <si>
    <t>FOREST SCIENCE</t>
  </si>
  <si>
    <t>selfing; experimental inbred populations; genetics; plant breeding; deleterious alleles</t>
  </si>
  <si>
    <t>SELF-FERTILIZATION; GENETIC LOAD; LETHAL ALLELES; LOBLOLLY-PINE; MARKER LOCI; FILLED SEED; DOUGLAS-FIR; RED PINE; POPULATIONS; SELECTION</t>
  </si>
  <si>
    <t>Use of selfing as a breeding tool for conifers is controversial; this topic is addressed with a review of genetic models, theory, and experimental results based on a wide range of plants and animals. Some supporting evidence is available from conifer studies. For most conifers, selfing will not be the best method for reducing inbreeding depression in small subpopulations or elite lines of deleterious alleles; sib- or random-mating is a better option in the early generations of conifer domestication. Possible exceptions are conifer species that have few lethal alleles. Few organisms have been studied which have more lethal equivalents than conifers, so slower rates of inbreeding than selfing are needed initially to prevent large losses to low offspring survival and adult fecundity. Inbred breeding populations will also require large numbers of replicate lines and progeny per replicate because the probability of extinction for each line is expected to be high. Like maize, few valuable lines will result from selfing in the initial generations. If inbreeding depression is based on deleterious mutations then it is hypothesized to decline with stringent selection against deleterious alleles (purging). After the initial purging phase, selfing would be efficient. Advantages of selfing include perfect assortative mating, increased selection efficacy among lines and increased uniformity within lines. Theoretical predictions for inbreeding depression in conifers have outpaced experimentation. Operational breeding programs will not provide needed data on changes in inbreeding depression, but the inbreeding assumptions for breeding strategies must be tested experimentally. We advocate using experimental inbred populations to study direct use of inbreeding depression as a breeding method. It provides first-hand results and lends confidence to long-term population management decisions. The greatest value will be to reveal unforeseen problems, preventing irreversible mistakes. As an example, we outline a plan for a rapidly cycled experimental inbred population for Pinus taeda L, which combines early selection, rapid screening for adult fecundity, and traditional genetic testing. Inbreeding depression research is central to the success of long-term population management. It has become more powerful with integrated classical genetics-molecular approaches, accelerated breeding techniques, and computer simulation models.</t>
  </si>
  <si>
    <t>UNIV OULU, DEPT GENET, SF-90570 OULU, FINLAND</t>
  </si>
  <si>
    <t>University of Oulu</t>
  </si>
  <si>
    <t>TEXAS A&amp;M UNIV, DEPT FOREST SCI, COLLEGE STN, TX 77843 USA.</t>
  </si>
  <si>
    <t>0015-749X</t>
  </si>
  <si>
    <t>1938-3738</t>
  </si>
  <si>
    <t>FOREST SCI</t>
  </si>
  <si>
    <t>For. Sci.</t>
  </si>
  <si>
    <t>Forestry</t>
  </si>
  <si>
    <t>TU853</t>
  </si>
  <si>
    <t>WOS:A1996TU85300012</t>
  </si>
  <si>
    <t>Heinemann, AB; Dingkuhn, M; Luquet, D; Combres, JC; Chapman, S</t>
  </si>
  <si>
    <t>Heinemann, Alexandre Bryan; Dingkuhn, Michael; Luquet, Delphine; Combres, Jean Claude; Chapman, Scott</t>
  </si>
  <si>
    <t>Characterization of drought stress environments for upland rice and maize in central Brazil</t>
  </si>
  <si>
    <t>crop modelling; target population of environments; Cerrados; breeding</t>
  </si>
  <si>
    <t>AFFECTING GRAIN-SORGHUM; LEAF-AREA; SELECTION; GENOTYPE; PREDICTION; CULTIVARS; PATTERNS</t>
  </si>
  <si>
    <t>Drought stresses arise when the combination of rainfall and soil water supply are insufficient to meet the transpiration needs of the crop. In the Cerrado region of Goias state, Brazil, summer rainfall is typically greater than 1000 mm. However, drought stress can occur during rain-free periods of only 1-3 weeks, since roots are frequently restricted to shallow depths due to Al-induced acidity in deeper soil layers. If these droughts are frequent, then plant breeding programs need to consider how to develop suitable germplasm for the target population of environments (TPE). A crop simulation model was used to determine patterns of drought stress for 12 locations and &gt;30 environments (6 years x 5-6 planting dates) for short and medium duration rice crops (planted in early summer), and for maize grown either as a 1st or 2nd crop in the summer cycle. Regression analysis of the simulations confirmed the greater yield impact in both crops of drought stress (quantified as the ratio of water-limited to potential transpiration) when it occurred around the time of flowering and early grain-filling. For rice, mild mid-season droughts occurred 40-60% of the time in virgin (0.4 m deep for rice or 0.5 m for maize) soils and improved (0.8 m for rice or 1.0 m for maize) soils, with a yield reduction of &lt;30%. More severe reproductive and grain-filling stress (yield reductions of 50% for rice to 90% for maize) occurred less frequently in rice (&lt;30% of time) and 1st maize crop (&lt; 10% of time). The 2nd maize crop experienced the greatest proportion (75-90%) of drought stresses that reduced yield to &lt;50% of potential, with most of these occasions associated with later planting. The rice breeding station (CNPAF) experiences the same pattern of different drought types as for the TPE, and is largely suitable for early-stage selection of adapted germplasm based on yield potential. However, selection for virgin soil types could be augmented by evaluation on some less-improved soils in the slightly drier parts of the TPE region. Similarly, the drought patterns at the maize research station (CNPMS) and the other maize screening locations are better suited to selection of lines for the improved soil types. Development of lines for the 2nd crop and on more virgin (acidic) soils would require more targeted selection at late planting dates in drier sites.</t>
  </si>
  <si>
    <t>[Heinemann, Alexandre Bryan] Embrapa Rice &amp; Beans, BR-75375000 Santo Antonio De Goias, Go, Brazil; [Dingkuhn, Michael; Luquet, Delphine; Combres, Jean Claude] CIRAD BIOS, UPR 59, F-34398 Montpellier, France; [Chapman, Scott] CSIRO Plant Ind, Queensland Biosci Precinct, St Lucia, Qld, Australia</t>
  </si>
  <si>
    <t>Empresa Brasileira de Pesquisa Agropecuaria (EMBRAPA); CIRAD; Commonwealth Scientific &amp; Industrial Research Organisation (CSIRO)</t>
  </si>
  <si>
    <t>Heinemann, AB (corresponding author), Embrapa Rice &amp; Beans, Rodovia GO 462,Km 12, BR-75375000 Santo Antonio De Goias, Go, Brazil.</t>
  </si>
  <si>
    <t>Heinemann, Alexandre/ABH-4914-2020; Chapman, Scott/B-9673-2008</t>
  </si>
  <si>
    <t>Heinemann, Alexandre/0000-0002-7037-488X; Chapman, Scott/0000-0003-4732-8452</t>
  </si>
  <si>
    <t>10.1007/s10681-007-9579-z</t>
  </si>
  <si>
    <t>319ZP</t>
  </si>
  <si>
    <t>WOS:000257203800009</t>
  </si>
  <si>
    <t>Slafer, GA</t>
  </si>
  <si>
    <t>Differences in phasic development rate amongst wheat cultivars independent of responses to photoperiod and vernalization. A viewpoint of the intrinsic earliness hypothesis</t>
  </si>
  <si>
    <t>SPIKELET NUMBER; SPRING WHEAT; APEX DEVELOPMENT; EAR DEVELOPMENT; WINTER-WHEAT; FIELD CROPS; SOWING DATE; TEMPERATURE; PLANT; INITIATION</t>
  </si>
  <si>
    <t>Differences amongst wheat cultivars in the rate of reproductive development are largely dependent on differences in their sensitivity to photoperiod and vernalization. However, when these responses are accounted for, by growing vernalized seedlings under long photoperiods, cultivars can still differ markedly in time to ear emergence. Control of rate of development by this 'third factor' has been poorly understood and is variously referred to as intrinsic earliness, earliness in the narrow sense, basic vegetative period, earliness per se, and basic development rate. Certain assumptions are made in the concept of intrinsic earliness. They are that differences in intrinsic earliness (i) are independent of the responses of the cultivars to photoperiod and vernalization, (ii) apply only to the length of the vegetative period up to floral initiation (as suggested by several authors), (iii) are maintained under different temperatures, measured either in days or degree days. As a consequence of this, the ranking of cultivars (from intrinsically early to intrinsically late) must be maintained at different temperatures. This paper, by the re-analysis of published data, examines the extent to which these assumptions can be supported. Although it is shown that intrinsic earliness operates independently of photoperiod and vernalization responses, the other assumptions were not supported. The differences amongst genotypes in time to ear emergence, grown under above-optimum vernalization and photoperiod (that is when the response to these factors is saturated), were not exclusively due to parallel differences in the length of the vegetative phase, and the length of the reproductive phase was independent of that of the vegetative phase. Thus, it would be possible to change the relative allocation of time to vegetative and reproductive periods with no change in the full period to ear emergence. The differences in intrinsic earliness between cultivars were modified by the temperature regime under which they were grown, i.e. the difference between cultivars (both considering the full phase to ear emergence or some sub-phases) was not a constant amount of time or thermal time at different temperatures. In addition, in some instances genotypes changed their ranking for 'intrinsic earliness' depending on the temperature regime. This was interpreted to mean that while all genotypes are sensitive to temperature they differ amongst themselves in the extent of that sensitivity. Therefore, 'intrinsic earliness' should not be considered as a static genotypic characteristic, but the result of the interaction between the genotype and temperature. Intrinsic earliness is therefore likely to be related to temperature sensitivity. Some implications of these conclusions for plant breeding and crop simulation modelling are discussed.</t>
  </si>
  <si>
    <t>UNIV MELBOURNE, DEPT AGR, CTR CROP IMPROVEMENT, PARKVILLE, VIC 3052, AUSTRALIA</t>
  </si>
  <si>
    <t>University of Melbourne; Victorian Department of Environment &amp; Primary Industries</t>
  </si>
  <si>
    <t>Slafer, Gustavo/A-8694-2011</t>
  </si>
  <si>
    <t>Slafer, Gustavo/0000-0002-1766-4247</t>
  </si>
  <si>
    <t>10.1017/S0021859600075493</t>
  </si>
  <si>
    <t>UT414</t>
  </si>
  <si>
    <t>WOS:A1996UT41400004</t>
  </si>
  <si>
    <t>Castro, CAD; Nunes, ACP; Roque, JV; Teófilo, RF; Santos, OP; Santos, GA; Gallo, R; Pantuza, IB; Resende, MDV</t>
  </si>
  <si>
    <t>de Oliveira Castro, Carla Aparecida; Nunes, Andrei Caique P.; Roque, Jussara V.; Teofilo, Reinaldo F.; Santos, Osmarino P.; Santos, Gleison A.; Gallo, Ricardo; Pantuza, Igor B.; Resende, Marcos Deon V.</t>
  </si>
  <si>
    <t>Optimization of Eucalyptus benthamii progeny test based on Near-Infrared Spectroscopy approach and volumetric production</t>
  </si>
  <si>
    <t>INDUSTRIAL CROPS AND PRODUCTS</t>
  </si>
  <si>
    <t>Plant breeding; Unbalanced optimization; MAIpulp; Pulp yield; Basic dcrsity; Selection</t>
  </si>
  <si>
    <t>INBREEDING DEPRESSION; BREEDING PROGRAMS; WOOD PROPERTIES; GENE FLOW; SELECTION; MODELS; CLONES; TOOL; POPULATIONS; IMPROVEMENT</t>
  </si>
  <si>
    <t>A progeny test of half-siblings of Eucalyptus benthamii was analyzed using wood quality traits combined with volumetric information. The test was designed in completely randomized blocks design with a total of 1394 trees planted in the city of Encruzilhada do Sul, Brazil. At six years of age, all the trees were measured and sawing samples were collected from 87 trees, which were processed and read through the NIR. Regression models were calibrated by the partial least squares (PLS) method to correlate the NIR spectra with wet chemical measurements, allowing the assembly of models to estimate values of basic density and pulp yield for all the population. From the values of basic density and pulp yield, obtained by the models, and average annual increment of wood (MAI), the average annual increment of cellulose (MAIpulp) was calculated for each individual in the test. Two types of optimizations were tested: balanced and unbalanced. The balanced optimization consisted of selecting for MAIpulp, on average, 9 individuals in the 40 best families. The unbalanced optimization was performed through the simulation of 72 scenarios. The effect size (Ne), inbreeding rate (F), and accumulated gain were calculated for each scenario. The selection prioritized the best families and the top ranked individuals within each family. Results revealed that the individual heritability in the restricted sense (h(2)a) for density (0.331) and pulp yield (0.322) were classified as moderate magnitude. For MAIpulp, the h2a was considered high (0.514), which suggested the presence of genetic control and the possibility of obtain gains through selection. The accuracy for all the traits was higher than 77.3%. In addition, the NIR prediction correlation coefficient presented values above 85% in PLS-OPS for basic density and pulp yield, indicating a high predictive potential of technology for selection of E. benthamii genotypes. In the balanced scenario, 369 individuals were selected with a Ne of 119 and a genetic gain of 36%. In the unbalanced scenario, the scenario 53 was selected, which demonstrated the maintenance of 100 individuals and 36 families is necessary to obtain a Ne equal to 54 and a gain of 64.21% relative to the original population. The estimated genetic parameters indicated favorable conditions for selection. The results suggested the necessity to improve the process through the use of NIR technology. For this process, future research may need to adopt models specific to breeding regions and make alterations in the calibration model for each species. The unbalanced optimization was more efficient than the balanced. Using the unbalanced procedure, researchers may be able to accomplish considerable genetic gains with less individuals in the population while maintaining the same rate of genetic variability.</t>
  </si>
  <si>
    <t>[de Oliveira Castro, Carla Aparecida; Resende, Marcos Deon V.] Univ Fed Vicosa, Program Postgrad Genet &amp; Plant Breeding, BR-36570900 Vicosa, MG, Brazil; [Nunes, Andrei Caique P.] Fed Univ South Bahia, Agroforestry Sci Ctr, BR-45613204 Itabuna, BA, Brazil; [Roque, Jussara V.; Teofilo, Reinaldo F.] Univ Fed Vicosa, Dept Chem, BR-36570900 Vicosa, MG, Brazil; [Santos, Osmarino P.] CMPC Celulose Riograndense Co, BR-92500000 Guaiba, RS, Brazil; [Santos, Gleison A.; Pantuza, Igor B.] Univ Fed Vicosa, Dept Forest Engn, BR-36570900 Vicosa, MG, Brazil; [Gallo, Ricardo] Univ Fed Rural Pernambuco, Dept Forest Sci, BR-52171900 Recife, PE, Brazil</t>
  </si>
  <si>
    <t>Universidade Federal de Vicosa; Universidade Federal do Sul da Bahia; Universidade Federal de Vicosa; Universidade Federal de Vicosa; Universidade Federal Rural de Pernambuco (UFRPE)</t>
  </si>
  <si>
    <t>Castro, CAD (corresponding author), Univ Fed Vicosa, Program Postgrad Genet &amp; Plant Breeding, BR-36570900 Vicosa, MG, Brazil.</t>
  </si>
  <si>
    <t>ufv.carlacastro@gmail.com</t>
  </si>
  <si>
    <t>Nunes, Andrei/AAG-1906-2021; Roque, Jussara Valente/D-4186-2018; Gallo, Ricardo/R-2681-2016; Teofilo, Reinaldo/B-4110-2009</t>
  </si>
  <si>
    <t>Roque, Jussara Valente/0000-0002-5220-959X; Gallo, Ricardo/0000-0001-9547-3983; Pires Nunes, Andrei Caique/0000-0002-9536-5226; Teofilo, Reinaldo/0000-0001-6255-463X</t>
  </si>
  <si>
    <t>Universidade Federal de Vicosa; Universidade Federal do Sul da Bahia; Conselho National de Desenvolvimento Cientifico a Tecnologico (CNPq); Coordenacao de Aperfeicoamento de Pessoal de Nivel Superior (CAPES)</t>
  </si>
  <si>
    <t>Universidade Federal de Vicosa; Universidade Federal do Sul da Bahia; Conselho National de Desenvolvimento Cientifico a Tecnologico (CNPq)(Conselho Nacional de Desenvolvimento Cientifico e Tecnologico (CNPQ)Fundacao de Apoio a Pesquisa do Distrito Federal (FAPDF)); Coordenacao de Aperfeicoamento de Pessoal de Nivel Superior (CAPES)(Coordenacao de Aperfeicoamento de Pessoal de Nivel Superior (CAPES))</t>
  </si>
  <si>
    <t>The authors thank Universidade Federal de Vicosa, Universidade Federal do Sul da Bahia, the Brazilian fund agencies Conselho National de Desenvolvimento Cientifico a Tecnologico (CNPq), Coordenacao de Aperfeicoamento de Pessoal de Nivel Superior (CAPES) for granting the scholarships and to company CMPC Celulose Riograndense for providing the progeny test of E. benthamii data.</t>
  </si>
  <si>
    <t>0926-6690</t>
  </si>
  <si>
    <t>1872-633X</t>
  </si>
  <si>
    <t>IND CROP PROD</t>
  </si>
  <si>
    <t>Ind. Crop. Prod.</t>
  </si>
  <si>
    <t>10.1016/j.indcrop.2019.111786</t>
  </si>
  <si>
    <t>JN0RN</t>
  </si>
  <si>
    <t>WOS:000496611800042</t>
  </si>
  <si>
    <t>Publication.Type</t>
  </si>
  <si>
    <t>Book.Authors</t>
  </si>
  <si>
    <t>Book.Editors</t>
  </si>
  <si>
    <t>Book.Group.Authors</t>
  </si>
  <si>
    <t>Author.Full.Names</t>
  </si>
  <si>
    <t>Book.Author.Full.Names</t>
  </si>
  <si>
    <t>Group.Authors</t>
  </si>
  <si>
    <t>Article.Title</t>
  </si>
  <si>
    <t>Source.Title</t>
  </si>
  <si>
    <t>Book.Series.Title</t>
  </si>
  <si>
    <t>Book.Series.Subtitle</t>
  </si>
  <si>
    <t>Document.Type</t>
  </si>
  <si>
    <t>Conference.Title</t>
  </si>
  <si>
    <t>Conference.Date</t>
  </si>
  <si>
    <t>Conference.Location</t>
  </si>
  <si>
    <t>Conference.Sponsor</t>
  </si>
  <si>
    <t>Conference.Host</t>
  </si>
  <si>
    <t>Author.Keywords</t>
  </si>
  <si>
    <t>Keywords.Plus</t>
  </si>
  <si>
    <t>Reprint.Addresses</t>
  </si>
  <si>
    <t>Email.Addresses</t>
  </si>
  <si>
    <t>Researcher.Ids</t>
  </si>
  <si>
    <t>Funding.Orgs</t>
  </si>
  <si>
    <t>Funding.Name.Preferred</t>
  </si>
  <si>
    <t>Funding.Text</t>
  </si>
  <si>
    <t>Cited.References</t>
  </si>
  <si>
    <t>Cited.Reference.Count</t>
  </si>
  <si>
    <t>Times.Cited,.WoS.Core</t>
  </si>
  <si>
    <t>Times.Cited,.All.Databases</t>
  </si>
  <si>
    <t>180.Day.Usage.Count</t>
  </si>
  <si>
    <t>Since.2013.Usage.Count</t>
  </si>
  <si>
    <t>Publisher.City</t>
  </si>
  <si>
    <t>Publisher.Address</t>
  </si>
  <si>
    <t>Journal.Abbreviation</t>
  </si>
  <si>
    <t>Journal.ISO.Abbreviation</t>
  </si>
  <si>
    <t>Publication.Date</t>
  </si>
  <si>
    <t>Publication.Year</t>
  </si>
  <si>
    <t>Part.Number</t>
  </si>
  <si>
    <t>Special.Issue</t>
  </si>
  <si>
    <t>Meeting.Abstract</t>
  </si>
  <si>
    <t>Start.Page</t>
  </si>
  <si>
    <t>End.Page</t>
  </si>
  <si>
    <t>Article.Number</t>
  </si>
  <si>
    <t>DOI.Link</t>
  </si>
  <si>
    <t>Book.DOI</t>
  </si>
  <si>
    <t>Early.Access.Date</t>
  </si>
  <si>
    <t>Number.of.Pages</t>
  </si>
  <si>
    <t>WoS.Categories</t>
  </si>
  <si>
    <t>Web.of.Science.Index</t>
  </si>
  <si>
    <t>Research.Areas</t>
  </si>
  <si>
    <t>IDS.Number</t>
  </si>
  <si>
    <t>Pubmed.Id</t>
  </si>
  <si>
    <t>Open.Access.Designations</t>
  </si>
  <si>
    <t>Highly.Cited.Status</t>
  </si>
  <si>
    <t>Hot.Paper.Status</t>
  </si>
  <si>
    <t>Date.of.Export</t>
  </si>
  <si>
    <t>UT.(Unique.WOS.ID)</t>
  </si>
  <si>
    <t>Web.of.Science.Record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</si>
</sst>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9010-1E4D-46DA-8D4F-24B747F4B18D}">
  <dimension ref="A1:BT283"/>
  <sheetViews>
    <sheetView tabSelected="1" topLeftCell="BH263" workbookViewId="0">
      <selection activeCell="BJ277" sqref="BJ277"/>
    </sheetView>
  </sheetViews>
  <sheetFormatPr defaultRowHeight="12.75" x14ac:dyDescent="0.2"/>
  <cols>
    <col min="62" max="62" width="41.140625" customWidth="1"/>
  </cols>
  <sheetData>
    <row r="1" spans="1:72" x14ac:dyDescent="0.2">
      <c r="A1" t="s">
        <v>5263</v>
      </c>
      <c r="B1" t="s">
        <v>0</v>
      </c>
      <c r="C1" t="s">
        <v>5264</v>
      </c>
      <c r="D1" t="s">
        <v>5265</v>
      </c>
      <c r="E1" t="s">
        <v>5266</v>
      </c>
      <c r="F1" t="s">
        <v>5267</v>
      </c>
      <c r="G1" t="s">
        <v>5268</v>
      </c>
      <c r="H1" t="s">
        <v>5269</v>
      </c>
      <c r="I1" t="s">
        <v>5270</v>
      </c>
      <c r="J1" t="s">
        <v>5271</v>
      </c>
      <c r="K1" t="s">
        <v>5272</v>
      </c>
      <c r="L1" t="s">
        <v>5273</v>
      </c>
      <c r="M1" t="s">
        <v>1</v>
      </c>
      <c r="N1" t="s">
        <v>5274</v>
      </c>
      <c r="O1" t="s">
        <v>5275</v>
      </c>
      <c r="P1" t="s">
        <v>5276</v>
      </c>
      <c r="Q1" t="s">
        <v>5277</v>
      </c>
      <c r="R1" t="s">
        <v>5278</v>
      </c>
      <c r="S1" t="s">
        <v>5279</v>
      </c>
      <c r="T1" t="s">
        <v>5280</v>
      </c>
      <c r="U1" t="s">
        <v>5281</v>
      </c>
      <c r="V1" t="s">
        <v>2</v>
      </c>
      <c r="W1" t="s">
        <v>3</v>
      </c>
      <c r="X1" t="s">
        <v>4</v>
      </c>
      <c r="Y1" t="s">
        <v>5282</v>
      </c>
      <c r="Z1" t="s">
        <v>5283</v>
      </c>
      <c r="AA1" t="s">
        <v>5284</v>
      </c>
      <c r="AB1" t="s">
        <v>5</v>
      </c>
      <c r="AC1" t="s">
        <v>5285</v>
      </c>
      <c r="AD1" t="s">
        <v>5286</v>
      </c>
      <c r="AE1" t="s">
        <v>5287</v>
      </c>
      <c r="AF1" t="s">
        <v>5288</v>
      </c>
      <c r="AG1" t="s">
        <v>5289</v>
      </c>
      <c r="AH1" t="s">
        <v>5290</v>
      </c>
      <c r="AI1" t="s">
        <v>5291</v>
      </c>
      <c r="AJ1" t="s">
        <v>5292</v>
      </c>
      <c r="AK1" t="s">
        <v>5293</v>
      </c>
      <c r="AL1" t="s">
        <v>6</v>
      </c>
      <c r="AM1" t="s">
        <v>5294</v>
      </c>
      <c r="AN1" t="s">
        <v>5295</v>
      </c>
      <c r="AO1" t="s">
        <v>7</v>
      </c>
      <c r="AP1" t="s">
        <v>8</v>
      </c>
      <c r="AQ1" t="s">
        <v>9</v>
      </c>
      <c r="AR1" t="s">
        <v>5296</v>
      </c>
      <c r="AS1" t="s">
        <v>5297</v>
      </c>
      <c r="AT1" t="s">
        <v>5298</v>
      </c>
      <c r="AU1" t="s">
        <v>5299</v>
      </c>
      <c r="AV1" t="s">
        <v>10</v>
      </c>
      <c r="AW1" t="s">
        <v>11</v>
      </c>
      <c r="AX1" t="s">
        <v>5300</v>
      </c>
      <c r="AY1" t="s">
        <v>12</v>
      </c>
      <c r="AZ1" t="s">
        <v>5301</v>
      </c>
      <c r="BA1" t="s">
        <v>5302</v>
      </c>
      <c r="BB1" t="s">
        <v>5303</v>
      </c>
      <c r="BC1" t="s">
        <v>5304</v>
      </c>
      <c r="BD1" t="s">
        <v>5305</v>
      </c>
      <c r="BE1" t="s">
        <v>13</v>
      </c>
      <c r="BF1" t="s">
        <v>5306</v>
      </c>
      <c r="BG1" t="s">
        <v>5307</v>
      </c>
      <c r="BH1" t="s">
        <v>5308</v>
      </c>
      <c r="BI1" t="s">
        <v>5309</v>
      </c>
      <c r="BJ1" t="s">
        <v>5310</v>
      </c>
      <c r="BK1" t="s">
        <v>5311</v>
      </c>
      <c r="BL1" t="s">
        <v>5312</v>
      </c>
      <c r="BM1" t="s">
        <v>5313</v>
      </c>
      <c r="BN1" t="s">
        <v>5314</v>
      </c>
      <c r="BO1" t="s">
        <v>5315</v>
      </c>
      <c r="BP1" t="s">
        <v>5316</v>
      </c>
      <c r="BQ1" t="s">
        <v>5317</v>
      </c>
      <c r="BR1" t="s">
        <v>5318</v>
      </c>
      <c r="BS1" t="s">
        <v>5319</v>
      </c>
      <c r="BT1" t="s">
        <v>5320</v>
      </c>
    </row>
    <row r="2" spans="1:72" x14ac:dyDescent="0.2">
      <c r="A2" t="s">
        <v>14</v>
      </c>
      <c r="B2" t="s">
        <v>15</v>
      </c>
      <c r="C2" t="s">
        <v>16</v>
      </c>
      <c r="D2" t="s">
        <v>17</v>
      </c>
      <c r="E2" t="s">
        <v>16</v>
      </c>
      <c r="F2" t="s">
        <v>18</v>
      </c>
      <c r="G2" t="s">
        <v>16</v>
      </c>
      <c r="H2" t="s">
        <v>16</v>
      </c>
      <c r="I2" t="s">
        <v>19</v>
      </c>
      <c r="J2" t="s">
        <v>20</v>
      </c>
      <c r="K2" t="s">
        <v>21</v>
      </c>
      <c r="L2" t="s">
        <v>16</v>
      </c>
      <c r="M2" t="s">
        <v>22</v>
      </c>
      <c r="N2" t="s">
        <v>23</v>
      </c>
      <c r="O2" t="s">
        <v>16</v>
      </c>
      <c r="P2" t="s">
        <v>16</v>
      </c>
      <c r="Q2" t="s">
        <v>16</v>
      </c>
      <c r="R2" t="s">
        <v>16</v>
      </c>
      <c r="S2" t="s">
        <v>16</v>
      </c>
      <c r="T2" t="s">
        <v>16</v>
      </c>
      <c r="U2" t="s">
        <v>24</v>
      </c>
      <c r="V2" t="s">
        <v>25</v>
      </c>
      <c r="W2" t="s">
        <v>26</v>
      </c>
      <c r="X2" t="s">
        <v>27</v>
      </c>
      <c r="Y2" t="s">
        <v>28</v>
      </c>
      <c r="Z2" t="s">
        <v>16</v>
      </c>
      <c r="AA2" t="s">
        <v>29</v>
      </c>
      <c r="AB2" t="s">
        <v>30</v>
      </c>
      <c r="AC2" t="s">
        <v>16</v>
      </c>
      <c r="AD2" t="s">
        <v>16</v>
      </c>
      <c r="AE2" t="s">
        <v>16</v>
      </c>
      <c r="AF2" t="s">
        <v>16</v>
      </c>
      <c r="AG2">
        <v>156</v>
      </c>
      <c r="AH2">
        <v>35</v>
      </c>
      <c r="AI2">
        <v>46</v>
      </c>
      <c r="AJ2">
        <v>2</v>
      </c>
      <c r="AK2">
        <v>47</v>
      </c>
      <c r="AL2" t="s">
        <v>31</v>
      </c>
      <c r="AM2" t="s">
        <v>32</v>
      </c>
      <c r="AN2" t="s">
        <v>33</v>
      </c>
      <c r="AO2" t="s">
        <v>34</v>
      </c>
      <c r="AP2" t="s">
        <v>35</v>
      </c>
      <c r="AQ2" t="s">
        <v>36</v>
      </c>
      <c r="AR2" t="s">
        <v>37</v>
      </c>
      <c r="AS2" t="s">
        <v>38</v>
      </c>
      <c r="AT2" t="s">
        <v>16</v>
      </c>
      <c r="AU2">
        <v>2012</v>
      </c>
      <c r="AV2">
        <v>116</v>
      </c>
      <c r="AW2" t="s">
        <v>16</v>
      </c>
      <c r="AX2" t="s">
        <v>16</v>
      </c>
      <c r="AY2" t="s">
        <v>16</v>
      </c>
      <c r="AZ2" t="s">
        <v>16</v>
      </c>
      <c r="BA2" t="s">
        <v>16</v>
      </c>
      <c r="BB2">
        <v>219</v>
      </c>
      <c r="BC2">
        <v>264</v>
      </c>
      <c r="BD2" t="s">
        <v>16</v>
      </c>
      <c r="BE2" t="s">
        <v>39</v>
      </c>
      <c r="BF2" t="str">
        <f>HYPERLINK("http://dx.doi.org/10.1016/B978-0-12-394277-7.00006-3","http://dx.doi.org/10.1016/B978-0-12-394277-7.00006-3")</f>
        <v>http://dx.doi.org/10.1016/B978-0-12-394277-7.00006-3</v>
      </c>
      <c r="BG2" t="s">
        <v>16</v>
      </c>
      <c r="BH2" t="s">
        <v>16</v>
      </c>
      <c r="BI2">
        <v>46</v>
      </c>
      <c r="BJ2" t="s">
        <v>40</v>
      </c>
      <c r="BK2" t="s">
        <v>41</v>
      </c>
      <c r="BL2" t="s">
        <v>42</v>
      </c>
      <c r="BM2" t="s">
        <v>43</v>
      </c>
      <c r="BN2" t="s">
        <v>16</v>
      </c>
      <c r="BO2" t="s">
        <v>16</v>
      </c>
      <c r="BP2" t="s">
        <v>16</v>
      </c>
      <c r="BQ2" t="s">
        <v>16</v>
      </c>
      <c r="BR2" t="s">
        <v>44</v>
      </c>
      <c r="BS2" t="s">
        <v>45</v>
      </c>
      <c r="BT2" t="str">
        <f>HYPERLINK("https%3A%2F%2Fwww.webofscience.com%2Fwos%2Fwoscc%2Ffull-record%2FWOS:000306817000006","View Full Record in Web of Science")</f>
        <v>View Full Record in Web of Science</v>
      </c>
    </row>
    <row r="3" spans="1:72" x14ac:dyDescent="0.2">
      <c r="A3" t="s">
        <v>46</v>
      </c>
      <c r="B3" t="s">
        <v>47</v>
      </c>
      <c r="C3" t="s">
        <v>16</v>
      </c>
      <c r="D3" t="s">
        <v>16</v>
      </c>
      <c r="E3" t="s">
        <v>16</v>
      </c>
      <c r="F3" t="s">
        <v>48</v>
      </c>
      <c r="G3" t="s">
        <v>16</v>
      </c>
      <c r="H3" t="s">
        <v>16</v>
      </c>
      <c r="I3" t="s">
        <v>49</v>
      </c>
      <c r="J3" t="s">
        <v>50</v>
      </c>
      <c r="K3" t="s">
        <v>16</v>
      </c>
      <c r="L3" t="s">
        <v>16</v>
      </c>
      <c r="M3" t="s">
        <v>22</v>
      </c>
      <c r="N3" t="s">
        <v>51</v>
      </c>
      <c r="O3" t="s">
        <v>16</v>
      </c>
      <c r="P3" t="s">
        <v>16</v>
      </c>
      <c r="Q3" t="s">
        <v>16</v>
      </c>
      <c r="R3" t="s">
        <v>16</v>
      </c>
      <c r="S3" t="s">
        <v>16</v>
      </c>
      <c r="T3" t="s">
        <v>16</v>
      </c>
      <c r="U3" t="s">
        <v>52</v>
      </c>
      <c r="V3" t="s">
        <v>53</v>
      </c>
      <c r="W3" t="s">
        <v>54</v>
      </c>
      <c r="X3" t="s">
        <v>55</v>
      </c>
      <c r="Y3" t="s">
        <v>56</v>
      </c>
      <c r="Z3" t="s">
        <v>57</v>
      </c>
      <c r="AA3" t="s">
        <v>58</v>
      </c>
      <c r="AB3" t="s">
        <v>59</v>
      </c>
      <c r="AC3" t="s">
        <v>60</v>
      </c>
      <c r="AD3" t="s">
        <v>61</v>
      </c>
      <c r="AE3" t="s">
        <v>62</v>
      </c>
      <c r="AF3" t="s">
        <v>16</v>
      </c>
      <c r="AG3">
        <v>99</v>
      </c>
      <c r="AH3">
        <v>2</v>
      </c>
      <c r="AI3">
        <v>2</v>
      </c>
      <c r="AJ3">
        <v>6</v>
      </c>
      <c r="AK3">
        <v>6</v>
      </c>
      <c r="AL3" t="s">
        <v>63</v>
      </c>
      <c r="AM3" t="s">
        <v>64</v>
      </c>
      <c r="AN3" t="s">
        <v>65</v>
      </c>
      <c r="AO3" t="s">
        <v>66</v>
      </c>
      <c r="AP3" t="s">
        <v>67</v>
      </c>
      <c r="AQ3" t="s">
        <v>16</v>
      </c>
      <c r="AR3" t="s">
        <v>68</v>
      </c>
      <c r="AS3" t="s">
        <v>69</v>
      </c>
      <c r="AT3" t="s">
        <v>70</v>
      </c>
      <c r="AU3">
        <v>2025</v>
      </c>
      <c r="AV3">
        <v>65</v>
      </c>
      <c r="AW3">
        <v>1</v>
      </c>
      <c r="AX3" t="s">
        <v>16</v>
      </c>
      <c r="AY3" t="s">
        <v>16</v>
      </c>
      <c r="AZ3" t="s">
        <v>16</v>
      </c>
      <c r="BA3" t="s">
        <v>16</v>
      </c>
      <c r="BB3" t="s">
        <v>16</v>
      </c>
      <c r="BC3" t="s">
        <v>16</v>
      </c>
      <c r="BD3" t="s">
        <v>16</v>
      </c>
      <c r="BE3" t="s">
        <v>71</v>
      </c>
      <c r="BF3" t="str">
        <f>HYPERLINK("http://dx.doi.org/10.1002/csc2.21312","http://dx.doi.org/10.1002/csc2.21312")</f>
        <v>http://dx.doi.org/10.1002/csc2.21312</v>
      </c>
      <c r="BG3" t="s">
        <v>16</v>
      </c>
      <c r="BH3" t="s">
        <v>72</v>
      </c>
      <c r="BI3">
        <v>21</v>
      </c>
      <c r="BJ3" t="s">
        <v>40</v>
      </c>
      <c r="BK3" t="s">
        <v>73</v>
      </c>
      <c r="BL3" t="s">
        <v>42</v>
      </c>
      <c r="BM3" t="s">
        <v>74</v>
      </c>
      <c r="BN3" t="s">
        <v>16</v>
      </c>
      <c r="BO3" t="s">
        <v>75</v>
      </c>
      <c r="BP3" t="s">
        <v>16</v>
      </c>
      <c r="BQ3" t="s">
        <v>16</v>
      </c>
      <c r="BR3" t="s">
        <v>44</v>
      </c>
      <c r="BS3" t="s">
        <v>76</v>
      </c>
      <c r="BT3" t="str">
        <f>HYPERLINK("https%3A%2F%2Fwww.webofscience.com%2Fwos%2Fwoscc%2Ffull-record%2FWOS:001293598000001","View Full Record in Web of Science")</f>
        <v>View Full Record in Web of Science</v>
      </c>
    </row>
    <row r="4" spans="1:72" x14ac:dyDescent="0.2">
      <c r="A4" t="s">
        <v>77</v>
      </c>
      <c r="B4" t="s">
        <v>78</v>
      </c>
      <c r="C4" t="s">
        <v>16</v>
      </c>
      <c r="D4" t="s">
        <v>79</v>
      </c>
      <c r="E4" t="s">
        <v>16</v>
      </c>
      <c r="F4" t="s">
        <v>80</v>
      </c>
      <c r="G4" t="s">
        <v>16</v>
      </c>
      <c r="H4" t="s">
        <v>16</v>
      </c>
      <c r="I4" t="s">
        <v>81</v>
      </c>
      <c r="J4" t="s">
        <v>82</v>
      </c>
      <c r="K4" t="s">
        <v>16</v>
      </c>
      <c r="L4" t="s">
        <v>16</v>
      </c>
      <c r="M4" t="s">
        <v>22</v>
      </c>
      <c r="N4" t="s">
        <v>83</v>
      </c>
      <c r="O4" t="s">
        <v>16</v>
      </c>
      <c r="P4" t="s">
        <v>16</v>
      </c>
      <c r="Q4" t="s">
        <v>16</v>
      </c>
      <c r="R4" t="s">
        <v>16</v>
      </c>
      <c r="S4" t="s">
        <v>16</v>
      </c>
      <c r="T4" t="s">
        <v>16</v>
      </c>
      <c r="U4" t="s">
        <v>84</v>
      </c>
      <c r="V4" t="s">
        <v>16</v>
      </c>
      <c r="W4" t="s">
        <v>85</v>
      </c>
      <c r="X4" t="s">
        <v>86</v>
      </c>
      <c r="Y4" t="s">
        <v>87</v>
      </c>
      <c r="Z4" t="s">
        <v>16</v>
      </c>
      <c r="AA4" t="s">
        <v>16</v>
      </c>
      <c r="AB4" t="s">
        <v>16</v>
      </c>
      <c r="AC4" t="s">
        <v>16</v>
      </c>
      <c r="AD4" t="s">
        <v>16</v>
      </c>
      <c r="AE4" t="s">
        <v>16</v>
      </c>
      <c r="AF4" t="s">
        <v>16</v>
      </c>
      <c r="AG4">
        <v>26</v>
      </c>
      <c r="AH4">
        <v>0</v>
      </c>
      <c r="AI4">
        <v>0</v>
      </c>
      <c r="AJ4">
        <v>0</v>
      </c>
      <c r="AK4">
        <v>0</v>
      </c>
      <c r="AL4" t="s">
        <v>88</v>
      </c>
      <c r="AM4" t="s">
        <v>89</v>
      </c>
      <c r="AN4" t="s">
        <v>90</v>
      </c>
      <c r="AO4" t="s">
        <v>16</v>
      </c>
      <c r="AP4" t="s">
        <v>16</v>
      </c>
      <c r="AQ4" t="s">
        <v>91</v>
      </c>
      <c r="AR4" t="s">
        <v>16</v>
      </c>
      <c r="AS4" t="s">
        <v>16</v>
      </c>
      <c r="AT4" t="s">
        <v>16</v>
      </c>
      <c r="AU4">
        <v>2011</v>
      </c>
      <c r="AV4" t="s">
        <v>16</v>
      </c>
      <c r="AW4" t="s">
        <v>16</v>
      </c>
      <c r="AX4" t="s">
        <v>16</v>
      </c>
      <c r="AY4" t="s">
        <v>16</v>
      </c>
      <c r="AZ4" t="s">
        <v>16</v>
      </c>
      <c r="BA4" t="s">
        <v>16</v>
      </c>
      <c r="BB4">
        <v>19</v>
      </c>
      <c r="BC4">
        <v>40</v>
      </c>
      <c r="BD4" t="s">
        <v>16</v>
      </c>
      <c r="BE4" t="s">
        <v>16</v>
      </c>
      <c r="BF4" t="s">
        <v>16</v>
      </c>
      <c r="BG4" t="s">
        <v>16</v>
      </c>
      <c r="BH4" t="s">
        <v>16</v>
      </c>
      <c r="BI4">
        <v>22</v>
      </c>
      <c r="BJ4" t="s">
        <v>296</v>
      </c>
      <c r="BK4" t="s">
        <v>93</v>
      </c>
      <c r="BL4" t="s">
        <v>94</v>
      </c>
      <c r="BM4" t="s">
        <v>95</v>
      </c>
      <c r="BN4" t="s">
        <v>16</v>
      </c>
      <c r="BO4" t="s">
        <v>16</v>
      </c>
      <c r="BP4" t="s">
        <v>16</v>
      </c>
      <c r="BQ4" t="s">
        <v>16</v>
      </c>
      <c r="BR4" t="s">
        <v>44</v>
      </c>
      <c r="BS4" t="s">
        <v>96</v>
      </c>
      <c r="BT4" t="str">
        <f>HYPERLINK("https%3A%2F%2Fwww.webofscience.com%2Fwos%2Fwoscc%2Ffull-record%2FWOS:000373669700003","View Full Record in Web of Science")</f>
        <v>View Full Record in Web of Science</v>
      </c>
    </row>
    <row r="5" spans="1:72" x14ac:dyDescent="0.2">
      <c r="A5" t="s">
        <v>46</v>
      </c>
      <c r="B5" t="s">
        <v>97</v>
      </c>
      <c r="C5" t="s">
        <v>16</v>
      </c>
      <c r="D5" t="s">
        <v>16</v>
      </c>
      <c r="E5" t="s">
        <v>16</v>
      </c>
      <c r="F5" t="s">
        <v>98</v>
      </c>
      <c r="G5" t="s">
        <v>16</v>
      </c>
      <c r="H5" t="s">
        <v>16</v>
      </c>
      <c r="I5" t="s">
        <v>99</v>
      </c>
      <c r="J5" t="s">
        <v>50</v>
      </c>
      <c r="K5" t="s">
        <v>16</v>
      </c>
      <c r="L5" t="s">
        <v>16</v>
      </c>
      <c r="M5" t="s">
        <v>22</v>
      </c>
      <c r="N5" t="s">
        <v>51</v>
      </c>
      <c r="O5" t="s">
        <v>16</v>
      </c>
      <c r="P5" t="s">
        <v>16</v>
      </c>
      <c r="Q5" t="s">
        <v>16</v>
      </c>
      <c r="R5" t="s">
        <v>16</v>
      </c>
      <c r="S5" t="s">
        <v>16</v>
      </c>
      <c r="T5" t="s">
        <v>16</v>
      </c>
      <c r="U5" t="s">
        <v>100</v>
      </c>
      <c r="V5" t="s">
        <v>101</v>
      </c>
      <c r="W5" t="s">
        <v>102</v>
      </c>
      <c r="X5" t="s">
        <v>103</v>
      </c>
      <c r="Y5" t="s">
        <v>104</v>
      </c>
      <c r="Z5" t="s">
        <v>105</v>
      </c>
      <c r="AA5" t="s">
        <v>16</v>
      </c>
      <c r="AB5" t="s">
        <v>106</v>
      </c>
      <c r="AC5" t="s">
        <v>16</v>
      </c>
      <c r="AD5" t="s">
        <v>16</v>
      </c>
      <c r="AE5" t="s">
        <v>16</v>
      </c>
      <c r="AF5" t="s">
        <v>16</v>
      </c>
      <c r="AG5">
        <v>46</v>
      </c>
      <c r="AH5">
        <v>14</v>
      </c>
      <c r="AI5">
        <v>16</v>
      </c>
      <c r="AJ5">
        <v>1</v>
      </c>
      <c r="AK5">
        <v>6</v>
      </c>
      <c r="AL5" t="s">
        <v>107</v>
      </c>
      <c r="AM5" t="s">
        <v>108</v>
      </c>
      <c r="AN5" t="s">
        <v>109</v>
      </c>
      <c r="AO5" t="s">
        <v>66</v>
      </c>
      <c r="AP5" t="s">
        <v>67</v>
      </c>
      <c r="AQ5" t="s">
        <v>16</v>
      </c>
      <c r="AR5" t="s">
        <v>68</v>
      </c>
      <c r="AS5" t="s">
        <v>69</v>
      </c>
      <c r="AT5" t="s">
        <v>110</v>
      </c>
      <c r="AU5">
        <v>2016</v>
      </c>
      <c r="AV5">
        <v>56</v>
      </c>
      <c r="AW5">
        <v>5</v>
      </c>
      <c r="AX5" t="s">
        <v>16</v>
      </c>
      <c r="AY5" t="s">
        <v>16</v>
      </c>
      <c r="AZ5" t="s">
        <v>16</v>
      </c>
      <c r="BA5" t="s">
        <v>16</v>
      </c>
      <c r="BB5">
        <v>2237</v>
      </c>
      <c r="BC5">
        <v>2250</v>
      </c>
      <c r="BD5" t="s">
        <v>16</v>
      </c>
      <c r="BE5" t="s">
        <v>111</v>
      </c>
      <c r="BF5" t="str">
        <f>HYPERLINK("http://dx.doi.org/10.2135/cropsci2015.07.0405","http://dx.doi.org/10.2135/cropsci2015.07.0405")</f>
        <v>http://dx.doi.org/10.2135/cropsci2015.07.0405</v>
      </c>
      <c r="BG5" t="s">
        <v>16</v>
      </c>
      <c r="BH5" t="s">
        <v>16</v>
      </c>
      <c r="BI5">
        <v>14</v>
      </c>
      <c r="BJ5" t="s">
        <v>40</v>
      </c>
      <c r="BK5" t="s">
        <v>73</v>
      </c>
      <c r="BL5" t="s">
        <v>42</v>
      </c>
      <c r="BM5" t="s">
        <v>112</v>
      </c>
      <c r="BN5" t="s">
        <v>16</v>
      </c>
      <c r="BO5" t="s">
        <v>16</v>
      </c>
      <c r="BP5" t="s">
        <v>16</v>
      </c>
      <c r="BQ5" t="s">
        <v>16</v>
      </c>
      <c r="BR5" t="s">
        <v>44</v>
      </c>
      <c r="BS5" t="s">
        <v>113</v>
      </c>
      <c r="BT5" t="str">
        <f>HYPERLINK("https%3A%2F%2Fwww.webofscience.com%2Fwos%2Fwoscc%2Ffull-record%2FWOS:000388509300012","View Full Record in Web of Science")</f>
        <v>View Full Record in Web of Science</v>
      </c>
    </row>
    <row r="6" spans="1:72" x14ac:dyDescent="0.2">
      <c r="A6" t="s">
        <v>46</v>
      </c>
      <c r="B6" t="s">
        <v>114</v>
      </c>
      <c r="C6" t="s">
        <v>16</v>
      </c>
      <c r="D6" t="s">
        <v>16</v>
      </c>
      <c r="E6" t="s">
        <v>16</v>
      </c>
      <c r="F6" t="s">
        <v>115</v>
      </c>
      <c r="G6" t="s">
        <v>16</v>
      </c>
      <c r="H6" t="s">
        <v>16</v>
      </c>
      <c r="I6" t="s">
        <v>116</v>
      </c>
      <c r="J6" t="s">
        <v>117</v>
      </c>
      <c r="K6" t="s">
        <v>16</v>
      </c>
      <c r="L6" t="s">
        <v>16</v>
      </c>
      <c r="M6" t="s">
        <v>22</v>
      </c>
      <c r="N6" t="s">
        <v>118</v>
      </c>
      <c r="O6" t="s">
        <v>16</v>
      </c>
      <c r="P6" t="s">
        <v>16</v>
      </c>
      <c r="Q6" t="s">
        <v>16</v>
      </c>
      <c r="R6" t="s">
        <v>16</v>
      </c>
      <c r="S6" t="s">
        <v>16</v>
      </c>
      <c r="T6" t="s">
        <v>16</v>
      </c>
      <c r="U6" t="s">
        <v>119</v>
      </c>
      <c r="V6" t="s">
        <v>120</v>
      </c>
      <c r="W6" t="s">
        <v>121</v>
      </c>
      <c r="X6" t="s">
        <v>16</v>
      </c>
      <c r="Y6" t="s">
        <v>122</v>
      </c>
      <c r="Z6" t="s">
        <v>123</v>
      </c>
      <c r="AA6" t="s">
        <v>16</v>
      </c>
      <c r="AB6" t="s">
        <v>124</v>
      </c>
      <c r="AC6" t="s">
        <v>125</v>
      </c>
      <c r="AD6" t="s">
        <v>126</v>
      </c>
      <c r="AE6" t="s">
        <v>127</v>
      </c>
      <c r="AF6" t="s">
        <v>16</v>
      </c>
      <c r="AG6">
        <v>101</v>
      </c>
      <c r="AH6">
        <v>96</v>
      </c>
      <c r="AI6">
        <v>108</v>
      </c>
      <c r="AJ6">
        <v>6</v>
      </c>
      <c r="AK6">
        <v>109</v>
      </c>
      <c r="AL6" t="s">
        <v>128</v>
      </c>
      <c r="AM6" t="s">
        <v>129</v>
      </c>
      <c r="AN6" t="s">
        <v>130</v>
      </c>
      <c r="AO6" t="s">
        <v>131</v>
      </c>
      <c r="AP6" t="s">
        <v>132</v>
      </c>
      <c r="AQ6" t="s">
        <v>16</v>
      </c>
      <c r="AR6" t="s">
        <v>133</v>
      </c>
      <c r="AS6" t="s">
        <v>134</v>
      </c>
      <c r="AT6" t="s">
        <v>135</v>
      </c>
      <c r="AU6">
        <v>2015</v>
      </c>
      <c r="AV6">
        <v>128</v>
      </c>
      <c r="AW6">
        <v>11</v>
      </c>
      <c r="AX6" t="s">
        <v>16</v>
      </c>
      <c r="AY6" t="s">
        <v>16</v>
      </c>
      <c r="AZ6" t="s">
        <v>16</v>
      </c>
      <c r="BA6" t="s">
        <v>16</v>
      </c>
      <c r="BB6">
        <v>2131</v>
      </c>
      <c r="BC6">
        <v>2142</v>
      </c>
      <c r="BD6" t="s">
        <v>16</v>
      </c>
      <c r="BE6" t="s">
        <v>136</v>
      </c>
      <c r="BF6" t="str">
        <f>HYPERLINK("http://dx.doi.org/10.1007/s00122-015-2585-y","http://dx.doi.org/10.1007/s00122-015-2585-y")</f>
        <v>http://dx.doi.org/10.1007/s00122-015-2585-y</v>
      </c>
      <c r="BG6" t="s">
        <v>16</v>
      </c>
      <c r="BH6" t="s">
        <v>16</v>
      </c>
      <c r="BI6">
        <v>12</v>
      </c>
      <c r="BJ6" t="s">
        <v>296</v>
      </c>
      <c r="BK6" t="s">
        <v>73</v>
      </c>
      <c r="BL6" t="s">
        <v>137</v>
      </c>
      <c r="BM6" t="s">
        <v>138</v>
      </c>
      <c r="BN6">
        <v>26246331</v>
      </c>
      <c r="BO6" t="s">
        <v>139</v>
      </c>
      <c r="BP6" t="s">
        <v>16</v>
      </c>
      <c r="BQ6" t="s">
        <v>16</v>
      </c>
      <c r="BR6" t="s">
        <v>44</v>
      </c>
      <c r="BS6" t="s">
        <v>140</v>
      </c>
      <c r="BT6" t="str">
        <f>HYPERLINK("https%3A%2F%2Fwww.webofscience.com%2Fwos%2Fwoscc%2Ffull-record%2FWOS:000364129700001","View Full Record in Web of Science")</f>
        <v>View Full Record in Web of Science</v>
      </c>
    </row>
    <row r="7" spans="1:72" x14ac:dyDescent="0.2">
      <c r="A7" t="s">
        <v>141</v>
      </c>
      <c r="B7" t="s">
        <v>142</v>
      </c>
      <c r="C7" t="s">
        <v>16</v>
      </c>
      <c r="D7" t="s">
        <v>143</v>
      </c>
      <c r="E7" t="s">
        <v>16</v>
      </c>
      <c r="F7" t="s">
        <v>142</v>
      </c>
      <c r="G7" t="s">
        <v>16</v>
      </c>
      <c r="H7" t="s">
        <v>16</v>
      </c>
      <c r="I7" t="s">
        <v>144</v>
      </c>
      <c r="J7" t="s">
        <v>145</v>
      </c>
      <c r="K7" t="s">
        <v>146</v>
      </c>
      <c r="L7" t="s">
        <v>16</v>
      </c>
      <c r="M7" t="s">
        <v>22</v>
      </c>
      <c r="N7" t="s">
        <v>147</v>
      </c>
      <c r="O7" t="s">
        <v>148</v>
      </c>
      <c r="P7" t="s">
        <v>149</v>
      </c>
      <c r="Q7" t="s">
        <v>150</v>
      </c>
      <c r="R7" t="s">
        <v>151</v>
      </c>
      <c r="S7" t="s">
        <v>16</v>
      </c>
      <c r="T7" t="s">
        <v>152</v>
      </c>
      <c r="U7" t="s">
        <v>153</v>
      </c>
      <c r="V7" t="s">
        <v>154</v>
      </c>
      <c r="W7" t="s">
        <v>155</v>
      </c>
      <c r="X7" t="s">
        <v>156</v>
      </c>
      <c r="Y7" t="s">
        <v>157</v>
      </c>
      <c r="Z7" t="s">
        <v>158</v>
      </c>
      <c r="AA7" t="s">
        <v>159</v>
      </c>
      <c r="AB7" t="s">
        <v>16</v>
      </c>
      <c r="AC7" t="s">
        <v>16</v>
      </c>
      <c r="AD7" t="s">
        <v>16</v>
      </c>
      <c r="AE7" t="s">
        <v>16</v>
      </c>
      <c r="AF7" t="s">
        <v>16</v>
      </c>
      <c r="AG7">
        <v>19</v>
      </c>
      <c r="AH7">
        <v>0</v>
      </c>
      <c r="AI7">
        <v>0</v>
      </c>
      <c r="AJ7">
        <v>0</v>
      </c>
      <c r="AK7">
        <v>0</v>
      </c>
      <c r="AL7" t="s">
        <v>160</v>
      </c>
      <c r="AM7" t="s">
        <v>161</v>
      </c>
      <c r="AN7" t="s">
        <v>162</v>
      </c>
      <c r="AO7" t="s">
        <v>163</v>
      </c>
      <c r="AP7" t="s">
        <v>164</v>
      </c>
      <c r="AQ7" t="s">
        <v>165</v>
      </c>
      <c r="AR7" t="s">
        <v>166</v>
      </c>
      <c r="AS7" t="s">
        <v>16</v>
      </c>
      <c r="AT7" t="s">
        <v>16</v>
      </c>
      <c r="AU7">
        <v>2001</v>
      </c>
      <c r="AV7" t="s">
        <v>16</v>
      </c>
      <c r="AW7" t="s">
        <v>16</v>
      </c>
      <c r="AX7" t="s">
        <v>16</v>
      </c>
      <c r="AY7" t="s">
        <v>16</v>
      </c>
      <c r="AZ7" t="s">
        <v>16</v>
      </c>
      <c r="BA7" t="s">
        <v>16</v>
      </c>
      <c r="BB7">
        <v>1</v>
      </c>
      <c r="BC7">
        <v>15</v>
      </c>
      <c r="BD7" t="s">
        <v>16</v>
      </c>
      <c r="BE7" t="s">
        <v>16</v>
      </c>
      <c r="BF7" t="s">
        <v>16</v>
      </c>
      <c r="BG7" t="s">
        <v>16</v>
      </c>
      <c r="BH7" t="s">
        <v>16</v>
      </c>
      <c r="BI7">
        <v>15</v>
      </c>
      <c r="BJ7" t="s">
        <v>296</v>
      </c>
      <c r="BK7" t="s">
        <v>167</v>
      </c>
      <c r="BL7" t="s">
        <v>168</v>
      </c>
      <c r="BM7" t="s">
        <v>169</v>
      </c>
      <c r="BN7" t="s">
        <v>16</v>
      </c>
      <c r="BO7" t="s">
        <v>16</v>
      </c>
      <c r="BP7" t="s">
        <v>16</v>
      </c>
      <c r="BQ7" t="s">
        <v>16</v>
      </c>
      <c r="BR7" t="s">
        <v>44</v>
      </c>
      <c r="BS7" t="s">
        <v>170</v>
      </c>
      <c r="BT7" t="str">
        <f>HYPERLINK("https%3A%2F%2Fwww.webofscience.com%2Fwos%2Fwoscc%2Ffull-record%2FWOS:000170185300001","View Full Record in Web of Science")</f>
        <v>View Full Record in Web of Science</v>
      </c>
    </row>
    <row r="8" spans="1:72" x14ac:dyDescent="0.2">
      <c r="A8" t="s">
        <v>46</v>
      </c>
      <c r="B8" t="s">
        <v>171</v>
      </c>
      <c r="C8" t="s">
        <v>16</v>
      </c>
      <c r="D8" t="s">
        <v>16</v>
      </c>
      <c r="E8" t="s">
        <v>16</v>
      </c>
      <c r="F8" t="s">
        <v>172</v>
      </c>
      <c r="G8" t="s">
        <v>16</v>
      </c>
      <c r="H8" t="s">
        <v>16</v>
      </c>
      <c r="I8" t="s">
        <v>173</v>
      </c>
      <c r="J8" t="s">
        <v>174</v>
      </c>
      <c r="K8" t="s">
        <v>16</v>
      </c>
      <c r="L8" t="s">
        <v>16</v>
      </c>
      <c r="M8" t="s">
        <v>22</v>
      </c>
      <c r="N8" t="s">
        <v>51</v>
      </c>
      <c r="O8" t="s">
        <v>16</v>
      </c>
      <c r="P8" t="s">
        <v>16</v>
      </c>
      <c r="Q8" t="s">
        <v>16</v>
      </c>
      <c r="R8" t="s">
        <v>16</v>
      </c>
      <c r="S8" t="s">
        <v>16</v>
      </c>
      <c r="T8" t="s">
        <v>175</v>
      </c>
      <c r="U8" t="s">
        <v>16</v>
      </c>
      <c r="V8" t="s">
        <v>176</v>
      </c>
      <c r="W8" t="s">
        <v>177</v>
      </c>
      <c r="X8" t="s">
        <v>178</v>
      </c>
      <c r="Y8" t="s">
        <v>179</v>
      </c>
      <c r="Z8" t="s">
        <v>180</v>
      </c>
      <c r="AA8" t="s">
        <v>16</v>
      </c>
      <c r="AB8" t="s">
        <v>16</v>
      </c>
      <c r="AC8" t="s">
        <v>16</v>
      </c>
      <c r="AD8" t="s">
        <v>16</v>
      </c>
      <c r="AE8" t="s">
        <v>16</v>
      </c>
      <c r="AF8" t="s">
        <v>16</v>
      </c>
      <c r="AG8">
        <v>6</v>
      </c>
      <c r="AH8">
        <v>12</v>
      </c>
      <c r="AI8">
        <v>17</v>
      </c>
      <c r="AJ8">
        <v>1</v>
      </c>
      <c r="AK8">
        <v>22</v>
      </c>
      <c r="AL8" t="s">
        <v>181</v>
      </c>
      <c r="AM8" t="s">
        <v>182</v>
      </c>
      <c r="AN8" t="s">
        <v>183</v>
      </c>
      <c r="AO8" t="s">
        <v>184</v>
      </c>
      <c r="AP8" t="s">
        <v>185</v>
      </c>
      <c r="AQ8" t="s">
        <v>16</v>
      </c>
      <c r="AR8" t="s">
        <v>174</v>
      </c>
      <c r="AS8" t="s">
        <v>186</v>
      </c>
      <c r="AT8" t="s">
        <v>187</v>
      </c>
      <c r="AU8">
        <v>2016</v>
      </c>
      <c r="AV8">
        <v>46</v>
      </c>
      <c r="AW8">
        <v>1</v>
      </c>
      <c r="AX8" t="s">
        <v>16</v>
      </c>
      <c r="AY8" t="s">
        <v>16</v>
      </c>
      <c r="AZ8" t="s">
        <v>188</v>
      </c>
      <c r="BA8" t="s">
        <v>16</v>
      </c>
      <c r="BB8">
        <v>5</v>
      </c>
      <c r="BC8">
        <v>17</v>
      </c>
      <c r="BD8" t="s">
        <v>16</v>
      </c>
      <c r="BE8" t="s">
        <v>189</v>
      </c>
      <c r="BF8" t="str">
        <f>HYPERLINK("http://dx.doi.org/10.1287/inte.2015.0823","http://dx.doi.org/10.1287/inte.2015.0823")</f>
        <v>http://dx.doi.org/10.1287/inte.2015.0823</v>
      </c>
      <c r="BG8" t="s">
        <v>16</v>
      </c>
      <c r="BH8" t="s">
        <v>16</v>
      </c>
      <c r="BI8">
        <v>13</v>
      </c>
      <c r="BJ8" t="s">
        <v>296</v>
      </c>
      <c r="BK8" t="s">
        <v>190</v>
      </c>
      <c r="BL8" t="s">
        <v>191</v>
      </c>
      <c r="BM8" t="s">
        <v>192</v>
      </c>
      <c r="BN8" t="s">
        <v>16</v>
      </c>
      <c r="BO8" t="s">
        <v>16</v>
      </c>
      <c r="BP8" t="s">
        <v>16</v>
      </c>
      <c r="BQ8" t="s">
        <v>16</v>
      </c>
      <c r="BR8" t="s">
        <v>44</v>
      </c>
      <c r="BS8" t="s">
        <v>193</v>
      </c>
      <c r="BT8" t="str">
        <f>HYPERLINK("https%3A%2F%2Fwww.webofscience.com%2Fwos%2Fwoscc%2Ffull-record%2FWOS:000373130900002","View Full Record in Web of Science")</f>
        <v>View Full Record in Web of Science</v>
      </c>
    </row>
    <row r="9" spans="1:72" x14ac:dyDescent="0.2">
      <c r="A9" t="s">
        <v>46</v>
      </c>
      <c r="B9" t="s">
        <v>194</v>
      </c>
      <c r="C9" t="s">
        <v>16</v>
      </c>
      <c r="D9" t="s">
        <v>16</v>
      </c>
      <c r="E9" t="s">
        <v>16</v>
      </c>
      <c r="F9" t="s">
        <v>195</v>
      </c>
      <c r="G9" t="s">
        <v>16</v>
      </c>
      <c r="H9" t="s">
        <v>16</v>
      </c>
      <c r="I9" t="s">
        <v>196</v>
      </c>
      <c r="J9" t="s">
        <v>197</v>
      </c>
      <c r="K9" t="s">
        <v>16</v>
      </c>
      <c r="L9" t="s">
        <v>16</v>
      </c>
      <c r="M9" t="s">
        <v>22</v>
      </c>
      <c r="N9" t="s">
        <v>51</v>
      </c>
      <c r="O9" t="s">
        <v>16</v>
      </c>
      <c r="P9" t="s">
        <v>16</v>
      </c>
      <c r="Q9" t="s">
        <v>16</v>
      </c>
      <c r="R9" t="s">
        <v>16</v>
      </c>
      <c r="S9" t="s">
        <v>16</v>
      </c>
      <c r="T9" t="s">
        <v>198</v>
      </c>
      <c r="U9" t="s">
        <v>199</v>
      </c>
      <c r="V9" t="s">
        <v>200</v>
      </c>
      <c r="W9" t="s">
        <v>201</v>
      </c>
      <c r="X9" t="s">
        <v>202</v>
      </c>
      <c r="Y9" t="s">
        <v>203</v>
      </c>
      <c r="Z9" t="s">
        <v>204</v>
      </c>
      <c r="AA9" t="s">
        <v>205</v>
      </c>
      <c r="AB9" t="s">
        <v>16</v>
      </c>
      <c r="AC9" t="s">
        <v>16</v>
      </c>
      <c r="AD9" t="s">
        <v>16</v>
      </c>
      <c r="AE9" t="s">
        <v>16</v>
      </c>
      <c r="AF9" t="s">
        <v>16</v>
      </c>
      <c r="AG9">
        <v>22</v>
      </c>
      <c r="AH9">
        <v>1</v>
      </c>
      <c r="AI9">
        <v>1</v>
      </c>
      <c r="AJ9">
        <v>2</v>
      </c>
      <c r="AK9">
        <v>5</v>
      </c>
      <c r="AL9" t="s">
        <v>206</v>
      </c>
      <c r="AM9" t="s">
        <v>207</v>
      </c>
      <c r="AN9" t="s">
        <v>208</v>
      </c>
      <c r="AO9" t="s">
        <v>209</v>
      </c>
      <c r="AP9" t="s">
        <v>16</v>
      </c>
      <c r="AQ9" t="s">
        <v>16</v>
      </c>
      <c r="AR9" t="s">
        <v>210</v>
      </c>
      <c r="AS9" t="s">
        <v>211</v>
      </c>
      <c r="AT9" t="s">
        <v>212</v>
      </c>
      <c r="AU9">
        <v>2023</v>
      </c>
      <c r="AV9">
        <v>14</v>
      </c>
      <c r="AW9" t="s">
        <v>16</v>
      </c>
      <c r="AX9" t="s">
        <v>16</v>
      </c>
      <c r="AY9" t="s">
        <v>16</v>
      </c>
      <c r="AZ9" t="s">
        <v>16</v>
      </c>
      <c r="BA9" t="s">
        <v>16</v>
      </c>
      <c r="BB9" t="s">
        <v>16</v>
      </c>
      <c r="BC9" t="s">
        <v>16</v>
      </c>
      <c r="BD9">
        <v>1218665</v>
      </c>
      <c r="BE9" t="s">
        <v>213</v>
      </c>
      <c r="BF9" t="str">
        <f>HYPERLINK("http://dx.doi.org/10.3389/fpls.2023.1218665","http://dx.doi.org/10.3389/fpls.2023.1218665")</f>
        <v>http://dx.doi.org/10.3389/fpls.2023.1218665</v>
      </c>
      <c r="BG9" t="s">
        <v>16</v>
      </c>
      <c r="BH9" t="s">
        <v>16</v>
      </c>
      <c r="BI9">
        <v>12</v>
      </c>
      <c r="BJ9" t="s">
        <v>214</v>
      </c>
      <c r="BK9" t="s">
        <v>73</v>
      </c>
      <c r="BL9" t="s">
        <v>214</v>
      </c>
      <c r="BM9" t="s">
        <v>215</v>
      </c>
      <c r="BN9">
        <v>37546253</v>
      </c>
      <c r="BO9" t="s">
        <v>216</v>
      </c>
      <c r="BP9" t="s">
        <v>16</v>
      </c>
      <c r="BQ9" t="s">
        <v>16</v>
      </c>
      <c r="BR9" t="s">
        <v>44</v>
      </c>
      <c r="BS9" t="s">
        <v>217</v>
      </c>
      <c r="BT9" t="str">
        <f>HYPERLINK("https%3A%2F%2Fwww.webofscience.com%2Fwos%2Fwoscc%2Ffull-record%2FWOS:001042222600001","View Full Record in Web of Science")</f>
        <v>View Full Record in Web of Science</v>
      </c>
    </row>
    <row r="10" spans="1:72" x14ac:dyDescent="0.2">
      <c r="A10" t="s">
        <v>46</v>
      </c>
      <c r="B10" t="s">
        <v>218</v>
      </c>
      <c r="C10" t="s">
        <v>16</v>
      </c>
      <c r="D10" t="s">
        <v>16</v>
      </c>
      <c r="E10" t="s">
        <v>16</v>
      </c>
      <c r="F10" t="s">
        <v>218</v>
      </c>
      <c r="G10" t="s">
        <v>16</v>
      </c>
      <c r="H10" t="s">
        <v>16</v>
      </c>
      <c r="I10" t="s">
        <v>219</v>
      </c>
      <c r="J10" t="s">
        <v>220</v>
      </c>
      <c r="K10" t="s">
        <v>16</v>
      </c>
      <c r="L10" t="s">
        <v>16</v>
      </c>
      <c r="M10" t="s">
        <v>22</v>
      </c>
      <c r="N10" t="s">
        <v>51</v>
      </c>
      <c r="O10" t="s">
        <v>16</v>
      </c>
      <c r="P10" t="s">
        <v>16</v>
      </c>
      <c r="Q10" t="s">
        <v>16</v>
      </c>
      <c r="R10" t="s">
        <v>16</v>
      </c>
      <c r="S10" t="s">
        <v>16</v>
      </c>
      <c r="T10" t="s">
        <v>221</v>
      </c>
      <c r="U10" t="s">
        <v>16</v>
      </c>
      <c r="V10" t="s">
        <v>222</v>
      </c>
      <c r="W10" t="s">
        <v>16</v>
      </c>
      <c r="X10" t="s">
        <v>16</v>
      </c>
      <c r="Y10" t="s">
        <v>223</v>
      </c>
      <c r="Z10" t="s">
        <v>16</v>
      </c>
      <c r="AA10" t="s">
        <v>16</v>
      </c>
      <c r="AB10" t="s">
        <v>16</v>
      </c>
      <c r="AC10" t="s">
        <v>16</v>
      </c>
      <c r="AD10" t="s">
        <v>16</v>
      </c>
      <c r="AE10" t="s">
        <v>16</v>
      </c>
      <c r="AF10" t="s">
        <v>16</v>
      </c>
      <c r="AG10">
        <v>14</v>
      </c>
      <c r="AH10">
        <v>1</v>
      </c>
      <c r="AI10">
        <v>1</v>
      </c>
      <c r="AJ10">
        <v>0</v>
      </c>
      <c r="AK10">
        <v>1</v>
      </c>
      <c r="AL10" t="s">
        <v>224</v>
      </c>
      <c r="AM10" t="s">
        <v>225</v>
      </c>
      <c r="AN10" t="s">
        <v>226</v>
      </c>
      <c r="AO10" t="s">
        <v>227</v>
      </c>
      <c r="AP10" t="s">
        <v>16</v>
      </c>
      <c r="AQ10" t="s">
        <v>16</v>
      </c>
      <c r="AR10" t="s">
        <v>220</v>
      </c>
      <c r="AS10" t="s">
        <v>228</v>
      </c>
      <c r="AT10" t="s">
        <v>16</v>
      </c>
      <c r="AU10">
        <v>1995</v>
      </c>
      <c r="AV10">
        <v>81</v>
      </c>
      <c r="AW10">
        <v>2</v>
      </c>
      <c r="AX10" t="s">
        <v>16</v>
      </c>
      <c r="AY10" t="s">
        <v>16</v>
      </c>
      <c r="AZ10" t="s">
        <v>16</v>
      </c>
      <c r="BA10" t="s">
        <v>16</v>
      </c>
      <c r="BB10">
        <v>207</v>
      </c>
      <c r="BC10">
        <v>216</v>
      </c>
      <c r="BD10" t="s">
        <v>16</v>
      </c>
      <c r="BE10" t="s">
        <v>229</v>
      </c>
      <c r="BF10" t="str">
        <f>HYPERLINK("http://dx.doi.org/10.1007/BF00025435","http://dx.doi.org/10.1007/BF00025435")</f>
        <v>http://dx.doi.org/10.1007/BF00025435</v>
      </c>
      <c r="BG10" t="s">
        <v>16</v>
      </c>
      <c r="BH10" t="s">
        <v>16</v>
      </c>
      <c r="BI10">
        <v>10</v>
      </c>
      <c r="BJ10" t="s">
        <v>296</v>
      </c>
      <c r="BK10" t="s">
        <v>73</v>
      </c>
      <c r="BL10" t="s">
        <v>94</v>
      </c>
      <c r="BM10" t="s">
        <v>230</v>
      </c>
      <c r="BN10" t="s">
        <v>16</v>
      </c>
      <c r="BO10" t="s">
        <v>16</v>
      </c>
      <c r="BP10" t="s">
        <v>16</v>
      </c>
      <c r="BQ10" t="s">
        <v>16</v>
      </c>
      <c r="BR10" t="s">
        <v>44</v>
      </c>
      <c r="BS10" t="s">
        <v>231</v>
      </c>
      <c r="BT10" t="str">
        <f>HYPERLINK("https%3A%2F%2Fwww.webofscience.com%2Fwos%2Fwoscc%2Ffull-record%2FWOS:A1995QP38100014","View Full Record in Web of Science")</f>
        <v>View Full Record in Web of Science</v>
      </c>
    </row>
    <row r="11" spans="1:72" x14ac:dyDescent="0.2">
      <c r="A11" t="s">
        <v>46</v>
      </c>
      <c r="B11" t="s">
        <v>232</v>
      </c>
      <c r="C11" t="s">
        <v>16</v>
      </c>
      <c r="D11" t="s">
        <v>16</v>
      </c>
      <c r="E11" t="s">
        <v>16</v>
      </c>
      <c r="F11" t="s">
        <v>233</v>
      </c>
      <c r="G11" t="s">
        <v>16</v>
      </c>
      <c r="H11" t="s">
        <v>16</v>
      </c>
      <c r="I11" t="s">
        <v>234</v>
      </c>
      <c r="J11" t="s">
        <v>197</v>
      </c>
      <c r="K11" t="s">
        <v>16</v>
      </c>
      <c r="L11" t="s">
        <v>16</v>
      </c>
      <c r="M11" t="s">
        <v>22</v>
      </c>
      <c r="N11" t="s">
        <v>118</v>
      </c>
      <c r="O11" t="s">
        <v>16</v>
      </c>
      <c r="P11" t="s">
        <v>16</v>
      </c>
      <c r="Q11" t="s">
        <v>16</v>
      </c>
      <c r="R11" t="s">
        <v>16</v>
      </c>
      <c r="S11" t="s">
        <v>16</v>
      </c>
      <c r="T11" t="s">
        <v>235</v>
      </c>
      <c r="U11" t="s">
        <v>236</v>
      </c>
      <c r="V11" t="s">
        <v>237</v>
      </c>
      <c r="W11" t="s">
        <v>238</v>
      </c>
      <c r="X11" t="s">
        <v>239</v>
      </c>
      <c r="Y11" t="s">
        <v>240</v>
      </c>
      <c r="Z11" t="s">
        <v>123</v>
      </c>
      <c r="AA11" t="s">
        <v>241</v>
      </c>
      <c r="AB11" t="s">
        <v>124</v>
      </c>
      <c r="AC11" t="s">
        <v>242</v>
      </c>
      <c r="AD11" t="s">
        <v>243</v>
      </c>
      <c r="AE11" t="s">
        <v>244</v>
      </c>
      <c r="AF11" t="s">
        <v>16</v>
      </c>
      <c r="AG11">
        <v>101</v>
      </c>
      <c r="AH11">
        <v>22</v>
      </c>
      <c r="AI11">
        <v>25</v>
      </c>
      <c r="AJ11">
        <v>6</v>
      </c>
      <c r="AK11">
        <v>67</v>
      </c>
      <c r="AL11" t="s">
        <v>206</v>
      </c>
      <c r="AM11" t="s">
        <v>207</v>
      </c>
      <c r="AN11" t="s">
        <v>208</v>
      </c>
      <c r="AO11" t="s">
        <v>209</v>
      </c>
      <c r="AP11" t="s">
        <v>16</v>
      </c>
      <c r="AQ11" t="s">
        <v>16</v>
      </c>
      <c r="AR11" t="s">
        <v>210</v>
      </c>
      <c r="AS11" t="s">
        <v>211</v>
      </c>
      <c r="AT11" t="s">
        <v>245</v>
      </c>
      <c r="AU11">
        <v>2017</v>
      </c>
      <c r="AV11">
        <v>8</v>
      </c>
      <c r="AW11" t="s">
        <v>16</v>
      </c>
      <c r="AX11" t="s">
        <v>16</v>
      </c>
      <c r="AY11" t="s">
        <v>16</v>
      </c>
      <c r="AZ11" t="s">
        <v>16</v>
      </c>
      <c r="BA11" t="s">
        <v>16</v>
      </c>
      <c r="BB11" t="s">
        <v>16</v>
      </c>
      <c r="BC11" t="s">
        <v>16</v>
      </c>
      <c r="BD11">
        <v>1182</v>
      </c>
      <c r="BE11" t="s">
        <v>246</v>
      </c>
      <c r="BF11" t="str">
        <f>HYPERLINK("http://dx.doi.org/10.3389/fpls.2017.01182","http://dx.doi.org/10.3389/fpls.2017.01182")</f>
        <v>http://dx.doi.org/10.3389/fpls.2017.01182</v>
      </c>
      <c r="BG11" t="s">
        <v>16</v>
      </c>
      <c r="BH11" t="s">
        <v>16</v>
      </c>
      <c r="BI11">
        <v>12</v>
      </c>
      <c r="BJ11" t="s">
        <v>214</v>
      </c>
      <c r="BK11" t="s">
        <v>73</v>
      </c>
      <c r="BL11" t="s">
        <v>214</v>
      </c>
      <c r="BM11" t="s">
        <v>247</v>
      </c>
      <c r="BN11">
        <v>28729875</v>
      </c>
      <c r="BO11" t="s">
        <v>216</v>
      </c>
      <c r="BP11" t="s">
        <v>16</v>
      </c>
      <c r="BQ11" t="s">
        <v>16</v>
      </c>
      <c r="BR11" t="s">
        <v>44</v>
      </c>
      <c r="BS11" t="s">
        <v>248</v>
      </c>
      <c r="BT11" t="str">
        <f>HYPERLINK("https%3A%2F%2Fwww.webofscience.com%2Fwos%2Fwoscc%2Ffull-record%2FWOS:000404919700001","View Full Record in Web of Science")</f>
        <v>View Full Record in Web of Science</v>
      </c>
    </row>
    <row r="12" spans="1:72" x14ac:dyDescent="0.2">
      <c r="A12" t="s">
        <v>46</v>
      </c>
      <c r="B12" t="s">
        <v>249</v>
      </c>
      <c r="C12" t="s">
        <v>16</v>
      </c>
      <c r="D12" t="s">
        <v>16</v>
      </c>
      <c r="E12" t="s">
        <v>16</v>
      </c>
      <c r="F12" t="s">
        <v>250</v>
      </c>
      <c r="G12" t="s">
        <v>16</v>
      </c>
      <c r="H12" t="s">
        <v>16</v>
      </c>
      <c r="I12" t="s">
        <v>251</v>
      </c>
      <c r="J12" t="s">
        <v>252</v>
      </c>
      <c r="K12" t="s">
        <v>16</v>
      </c>
      <c r="L12" t="s">
        <v>16</v>
      </c>
      <c r="M12" t="s">
        <v>253</v>
      </c>
      <c r="N12" t="s">
        <v>51</v>
      </c>
      <c r="O12" t="s">
        <v>16</v>
      </c>
      <c r="P12" t="s">
        <v>16</v>
      </c>
      <c r="Q12" t="s">
        <v>16</v>
      </c>
      <c r="R12" t="s">
        <v>16</v>
      </c>
      <c r="S12" t="s">
        <v>16</v>
      </c>
      <c r="T12" t="s">
        <v>254</v>
      </c>
      <c r="U12" t="s">
        <v>255</v>
      </c>
      <c r="V12" t="s">
        <v>256</v>
      </c>
      <c r="W12" t="s">
        <v>257</v>
      </c>
      <c r="X12" t="s">
        <v>258</v>
      </c>
      <c r="Y12" t="s">
        <v>259</v>
      </c>
      <c r="Z12" t="s">
        <v>260</v>
      </c>
      <c r="AA12" t="s">
        <v>261</v>
      </c>
      <c r="AB12" t="s">
        <v>262</v>
      </c>
      <c r="AC12" t="s">
        <v>16</v>
      </c>
      <c r="AD12" t="s">
        <v>16</v>
      </c>
      <c r="AE12" t="s">
        <v>16</v>
      </c>
      <c r="AF12" t="s">
        <v>16</v>
      </c>
      <c r="AG12">
        <v>22</v>
      </c>
      <c r="AH12">
        <v>7</v>
      </c>
      <c r="AI12">
        <v>8</v>
      </c>
      <c r="AJ12">
        <v>0</v>
      </c>
      <c r="AK12">
        <v>11</v>
      </c>
      <c r="AL12" t="s">
        <v>263</v>
      </c>
      <c r="AM12" t="s">
        <v>264</v>
      </c>
      <c r="AN12" t="s">
        <v>265</v>
      </c>
      <c r="AO12" t="s">
        <v>266</v>
      </c>
      <c r="AP12" t="s">
        <v>267</v>
      </c>
      <c r="AQ12" t="s">
        <v>16</v>
      </c>
      <c r="AR12" t="s">
        <v>268</v>
      </c>
      <c r="AS12" t="s">
        <v>269</v>
      </c>
      <c r="AT12" t="s">
        <v>187</v>
      </c>
      <c r="AU12">
        <v>2010</v>
      </c>
      <c r="AV12">
        <v>34</v>
      </c>
      <c r="AW12">
        <v>1</v>
      </c>
      <c r="AX12" t="s">
        <v>16</v>
      </c>
      <c r="AY12" t="s">
        <v>16</v>
      </c>
      <c r="AZ12" t="s">
        <v>16</v>
      </c>
      <c r="BA12" t="s">
        <v>16</v>
      </c>
      <c r="BB12">
        <v>29</v>
      </c>
      <c r="BC12">
        <v>36</v>
      </c>
      <c r="BD12" t="s">
        <v>16</v>
      </c>
      <c r="BE12" t="s">
        <v>270</v>
      </c>
      <c r="BF12" t="str">
        <f>HYPERLINK("http://dx.doi.org/10.1590/S1413-70542010000100003","http://dx.doi.org/10.1590/S1413-70542010000100003")</f>
        <v>http://dx.doi.org/10.1590/S1413-70542010000100003</v>
      </c>
      <c r="BG12" t="s">
        <v>16</v>
      </c>
      <c r="BH12" t="s">
        <v>16</v>
      </c>
      <c r="BI12">
        <v>8</v>
      </c>
      <c r="BJ12" t="s">
        <v>296</v>
      </c>
      <c r="BK12" t="s">
        <v>73</v>
      </c>
      <c r="BL12" t="s">
        <v>42</v>
      </c>
      <c r="BM12" t="s">
        <v>271</v>
      </c>
      <c r="BN12" t="s">
        <v>16</v>
      </c>
      <c r="BO12" t="s">
        <v>216</v>
      </c>
      <c r="BP12" t="s">
        <v>16</v>
      </c>
      <c r="BQ12" t="s">
        <v>16</v>
      </c>
      <c r="BR12" t="s">
        <v>44</v>
      </c>
      <c r="BS12" t="s">
        <v>272</v>
      </c>
      <c r="BT12" t="str">
        <f>HYPERLINK("https%3A%2F%2Fwww.webofscience.com%2Fwos%2Fwoscc%2Ffull-record%2FWOS:000276084600003","View Full Record in Web of Science")</f>
        <v>View Full Record in Web of Science</v>
      </c>
    </row>
    <row r="13" spans="1:72" x14ac:dyDescent="0.2">
      <c r="A13" t="s">
        <v>46</v>
      </c>
      <c r="B13" t="s">
        <v>273</v>
      </c>
      <c r="C13" t="s">
        <v>16</v>
      </c>
      <c r="D13" t="s">
        <v>16</v>
      </c>
      <c r="E13" t="s">
        <v>16</v>
      </c>
      <c r="F13" t="s">
        <v>274</v>
      </c>
      <c r="G13" t="s">
        <v>16</v>
      </c>
      <c r="H13" t="s">
        <v>16</v>
      </c>
      <c r="I13" t="s">
        <v>275</v>
      </c>
      <c r="J13" t="s">
        <v>276</v>
      </c>
      <c r="K13" t="s">
        <v>16</v>
      </c>
      <c r="L13" t="s">
        <v>16</v>
      </c>
      <c r="M13" t="s">
        <v>22</v>
      </c>
      <c r="N13" t="s">
        <v>51</v>
      </c>
      <c r="O13" t="s">
        <v>16</v>
      </c>
      <c r="P13" t="s">
        <v>16</v>
      </c>
      <c r="Q13" t="s">
        <v>16</v>
      </c>
      <c r="R13" t="s">
        <v>16</v>
      </c>
      <c r="S13" t="s">
        <v>16</v>
      </c>
      <c r="T13" t="s">
        <v>16</v>
      </c>
      <c r="U13" t="s">
        <v>277</v>
      </c>
      <c r="V13" t="s">
        <v>278</v>
      </c>
      <c r="W13" t="s">
        <v>279</v>
      </c>
      <c r="X13" t="s">
        <v>280</v>
      </c>
      <c r="Y13" t="s">
        <v>281</v>
      </c>
      <c r="Z13" t="s">
        <v>282</v>
      </c>
      <c r="AA13" t="s">
        <v>283</v>
      </c>
      <c r="AB13" t="s">
        <v>284</v>
      </c>
      <c r="AC13" t="s">
        <v>285</v>
      </c>
      <c r="AD13" t="s">
        <v>286</v>
      </c>
      <c r="AE13" t="s">
        <v>287</v>
      </c>
      <c r="AF13" t="s">
        <v>16</v>
      </c>
      <c r="AG13">
        <v>60</v>
      </c>
      <c r="AH13">
        <v>49</v>
      </c>
      <c r="AI13">
        <v>52</v>
      </c>
      <c r="AJ13">
        <v>1</v>
      </c>
      <c r="AK13">
        <v>39</v>
      </c>
      <c r="AL13" t="s">
        <v>288</v>
      </c>
      <c r="AM13" t="s">
        <v>289</v>
      </c>
      <c r="AN13" t="s">
        <v>290</v>
      </c>
      <c r="AO13" t="s">
        <v>291</v>
      </c>
      <c r="AP13" t="s">
        <v>16</v>
      </c>
      <c r="AQ13" t="s">
        <v>16</v>
      </c>
      <c r="AR13" t="s">
        <v>292</v>
      </c>
      <c r="AS13" t="s">
        <v>293</v>
      </c>
      <c r="AT13" t="s">
        <v>294</v>
      </c>
      <c r="AU13">
        <v>2016</v>
      </c>
      <c r="AV13">
        <v>6</v>
      </c>
      <c r="AW13" t="s">
        <v>16</v>
      </c>
      <c r="AX13" t="s">
        <v>16</v>
      </c>
      <c r="AY13" t="s">
        <v>16</v>
      </c>
      <c r="AZ13" t="s">
        <v>16</v>
      </c>
      <c r="BA13" t="s">
        <v>16</v>
      </c>
      <c r="BB13" t="s">
        <v>16</v>
      </c>
      <c r="BC13" t="s">
        <v>16</v>
      </c>
      <c r="BD13">
        <v>19454</v>
      </c>
      <c r="BE13" t="s">
        <v>295</v>
      </c>
      <c r="BF13" t="str">
        <f>HYPERLINK("http://dx.doi.org/10.1038/srep19454","http://dx.doi.org/10.1038/srep19454")</f>
        <v>http://dx.doi.org/10.1038/srep19454</v>
      </c>
      <c r="BG13" t="s">
        <v>16</v>
      </c>
      <c r="BH13" t="s">
        <v>16</v>
      </c>
      <c r="BI13">
        <v>11</v>
      </c>
      <c r="BJ13" t="s">
        <v>296</v>
      </c>
      <c r="BK13" t="s">
        <v>73</v>
      </c>
      <c r="BL13" t="s">
        <v>297</v>
      </c>
      <c r="BM13" t="s">
        <v>298</v>
      </c>
      <c r="BN13">
        <v>26787426</v>
      </c>
      <c r="BO13" t="s">
        <v>216</v>
      </c>
      <c r="BP13" t="s">
        <v>16</v>
      </c>
      <c r="BQ13" t="s">
        <v>16</v>
      </c>
      <c r="BR13" t="s">
        <v>44</v>
      </c>
      <c r="BS13" t="s">
        <v>299</v>
      </c>
      <c r="BT13" t="str">
        <f>HYPERLINK("https%3A%2F%2Fwww.webofscience.com%2Fwos%2Fwoscc%2Ffull-record%2FWOS:000368352200001","View Full Record in Web of Science")</f>
        <v>View Full Record in Web of Science</v>
      </c>
    </row>
    <row r="14" spans="1:72" x14ac:dyDescent="0.2">
      <c r="A14" t="s">
        <v>46</v>
      </c>
      <c r="B14" t="s">
        <v>300</v>
      </c>
      <c r="C14" t="s">
        <v>16</v>
      </c>
      <c r="D14" t="s">
        <v>16</v>
      </c>
      <c r="E14" t="s">
        <v>16</v>
      </c>
      <c r="F14" t="s">
        <v>301</v>
      </c>
      <c r="G14" t="s">
        <v>16</v>
      </c>
      <c r="H14" t="s">
        <v>16</v>
      </c>
      <c r="I14" t="s">
        <v>302</v>
      </c>
      <c r="J14" t="s">
        <v>82</v>
      </c>
      <c r="K14" t="s">
        <v>16</v>
      </c>
      <c r="L14" t="s">
        <v>16</v>
      </c>
      <c r="M14" t="s">
        <v>22</v>
      </c>
      <c r="N14" t="s">
        <v>51</v>
      </c>
      <c r="O14" t="s">
        <v>16</v>
      </c>
      <c r="P14" t="s">
        <v>16</v>
      </c>
      <c r="Q14" t="s">
        <v>16</v>
      </c>
      <c r="R14" t="s">
        <v>16</v>
      </c>
      <c r="S14" t="s">
        <v>16</v>
      </c>
      <c r="T14" t="s">
        <v>303</v>
      </c>
      <c r="U14" t="s">
        <v>304</v>
      </c>
      <c r="V14" t="s">
        <v>305</v>
      </c>
      <c r="W14" t="s">
        <v>306</v>
      </c>
      <c r="X14" t="s">
        <v>307</v>
      </c>
      <c r="Y14" t="s">
        <v>308</v>
      </c>
      <c r="Z14" t="s">
        <v>309</v>
      </c>
      <c r="AA14" t="s">
        <v>16</v>
      </c>
      <c r="AB14" t="s">
        <v>106</v>
      </c>
      <c r="AC14" t="s">
        <v>310</v>
      </c>
      <c r="AD14" t="s">
        <v>311</v>
      </c>
      <c r="AE14" t="s">
        <v>312</v>
      </c>
      <c r="AF14" t="s">
        <v>16</v>
      </c>
      <c r="AG14">
        <v>28</v>
      </c>
      <c r="AH14">
        <v>11</v>
      </c>
      <c r="AI14">
        <v>13</v>
      </c>
      <c r="AJ14">
        <v>0</v>
      </c>
      <c r="AK14">
        <v>9</v>
      </c>
      <c r="AL14" t="s">
        <v>313</v>
      </c>
      <c r="AM14" t="s">
        <v>314</v>
      </c>
      <c r="AN14" t="s">
        <v>315</v>
      </c>
      <c r="AO14" t="s">
        <v>316</v>
      </c>
      <c r="AP14" t="s">
        <v>16</v>
      </c>
      <c r="AQ14" t="s">
        <v>16</v>
      </c>
      <c r="AR14" t="s">
        <v>82</v>
      </c>
      <c r="AS14" t="s">
        <v>317</v>
      </c>
      <c r="AT14" t="s">
        <v>318</v>
      </c>
      <c r="AU14">
        <v>2010</v>
      </c>
      <c r="AV14">
        <v>129</v>
      </c>
      <c r="AW14">
        <v>6</v>
      </c>
      <c r="AX14" t="s">
        <v>16</v>
      </c>
      <c r="AY14" t="s">
        <v>16</v>
      </c>
      <c r="AZ14" t="s">
        <v>16</v>
      </c>
      <c r="BA14" t="s">
        <v>16</v>
      </c>
      <c r="BB14">
        <v>590</v>
      </c>
      <c r="BC14">
        <v>598</v>
      </c>
      <c r="BD14" t="s">
        <v>16</v>
      </c>
      <c r="BE14" t="s">
        <v>319</v>
      </c>
      <c r="BF14" t="str">
        <f>HYPERLINK("http://dx.doi.org/10.1111/j.1439-0523.2010.01795.x","http://dx.doi.org/10.1111/j.1439-0523.2010.01795.x")</f>
        <v>http://dx.doi.org/10.1111/j.1439-0523.2010.01795.x</v>
      </c>
      <c r="BG14" t="s">
        <v>16</v>
      </c>
      <c r="BH14" t="s">
        <v>16</v>
      </c>
      <c r="BI14">
        <v>9</v>
      </c>
      <c r="BJ14" t="s">
        <v>296</v>
      </c>
      <c r="BK14" t="s">
        <v>73</v>
      </c>
      <c r="BL14" t="s">
        <v>320</v>
      </c>
      <c r="BM14" t="s">
        <v>321</v>
      </c>
      <c r="BN14" t="s">
        <v>16</v>
      </c>
      <c r="BO14" t="s">
        <v>16</v>
      </c>
      <c r="BP14" t="s">
        <v>16</v>
      </c>
      <c r="BQ14" t="s">
        <v>16</v>
      </c>
      <c r="BR14" t="s">
        <v>44</v>
      </c>
      <c r="BS14" t="s">
        <v>322</v>
      </c>
      <c r="BT14" t="str">
        <f>HYPERLINK("https%3A%2F%2Fwww.webofscience.com%2Fwos%2Fwoscc%2Ffull-record%2FWOS:000284590300002","View Full Record in Web of Science")</f>
        <v>View Full Record in Web of Science</v>
      </c>
    </row>
    <row r="15" spans="1:72" x14ac:dyDescent="0.2">
      <c r="A15" t="s">
        <v>46</v>
      </c>
      <c r="B15" t="s">
        <v>323</v>
      </c>
      <c r="C15" t="s">
        <v>16</v>
      </c>
      <c r="D15" t="s">
        <v>16</v>
      </c>
      <c r="E15" t="s">
        <v>16</v>
      </c>
      <c r="F15" t="s">
        <v>324</v>
      </c>
      <c r="G15" t="s">
        <v>16</v>
      </c>
      <c r="H15" t="s">
        <v>16</v>
      </c>
      <c r="I15" t="s">
        <v>325</v>
      </c>
      <c r="J15" t="s">
        <v>326</v>
      </c>
      <c r="K15" t="s">
        <v>16</v>
      </c>
      <c r="L15" t="s">
        <v>16</v>
      </c>
      <c r="M15" t="s">
        <v>22</v>
      </c>
      <c r="N15" t="s">
        <v>51</v>
      </c>
      <c r="O15" t="s">
        <v>16</v>
      </c>
      <c r="P15" t="s">
        <v>16</v>
      </c>
      <c r="Q15" t="s">
        <v>16</v>
      </c>
      <c r="R15" t="s">
        <v>16</v>
      </c>
      <c r="S15" t="s">
        <v>16</v>
      </c>
      <c r="T15" t="s">
        <v>16</v>
      </c>
      <c r="U15" t="s">
        <v>327</v>
      </c>
      <c r="V15" t="s">
        <v>328</v>
      </c>
      <c r="W15" t="s">
        <v>329</v>
      </c>
      <c r="X15" t="s">
        <v>103</v>
      </c>
      <c r="Y15" t="s">
        <v>330</v>
      </c>
      <c r="Z15" t="s">
        <v>331</v>
      </c>
      <c r="AA15" t="s">
        <v>16</v>
      </c>
      <c r="AB15" t="s">
        <v>106</v>
      </c>
      <c r="AC15" t="s">
        <v>16</v>
      </c>
      <c r="AD15" t="s">
        <v>16</v>
      </c>
      <c r="AE15" t="s">
        <v>16</v>
      </c>
      <c r="AF15" t="s">
        <v>16</v>
      </c>
      <c r="AG15">
        <v>21</v>
      </c>
      <c r="AH15">
        <v>436</v>
      </c>
      <c r="AI15">
        <v>480</v>
      </c>
      <c r="AJ15">
        <v>2</v>
      </c>
      <c r="AK15">
        <v>50</v>
      </c>
      <c r="AL15" t="s">
        <v>332</v>
      </c>
      <c r="AM15" t="s">
        <v>333</v>
      </c>
      <c r="AN15" t="s">
        <v>334</v>
      </c>
      <c r="AO15" t="s">
        <v>335</v>
      </c>
      <c r="AP15" t="s">
        <v>336</v>
      </c>
      <c r="AQ15" t="s">
        <v>16</v>
      </c>
      <c r="AR15" t="s">
        <v>326</v>
      </c>
      <c r="AS15" t="s">
        <v>337</v>
      </c>
      <c r="AT15" t="s">
        <v>135</v>
      </c>
      <c r="AU15">
        <v>2007</v>
      </c>
      <c r="AV15">
        <v>177</v>
      </c>
      <c r="AW15">
        <v>3</v>
      </c>
      <c r="AX15" t="s">
        <v>16</v>
      </c>
      <c r="AY15" t="s">
        <v>16</v>
      </c>
      <c r="AZ15" t="s">
        <v>16</v>
      </c>
      <c r="BA15" t="s">
        <v>16</v>
      </c>
      <c r="BB15">
        <v>1881</v>
      </c>
      <c r="BC15">
        <v>1888</v>
      </c>
      <c r="BD15" t="s">
        <v>16</v>
      </c>
      <c r="BE15" t="s">
        <v>338</v>
      </c>
      <c r="BF15" t="str">
        <f>HYPERLINK("http://dx.doi.org/10.1534/genetics.107.074229","http://dx.doi.org/10.1534/genetics.107.074229")</f>
        <v>http://dx.doi.org/10.1534/genetics.107.074229</v>
      </c>
      <c r="BG15" t="s">
        <v>16</v>
      </c>
      <c r="BH15" t="s">
        <v>16</v>
      </c>
      <c r="BI15">
        <v>8</v>
      </c>
      <c r="BJ15" t="s">
        <v>339</v>
      </c>
      <c r="BK15" t="s">
        <v>73</v>
      </c>
      <c r="BL15" t="s">
        <v>339</v>
      </c>
      <c r="BM15" t="s">
        <v>340</v>
      </c>
      <c r="BN15">
        <v>18039886</v>
      </c>
      <c r="BO15" t="s">
        <v>341</v>
      </c>
      <c r="BP15" t="s">
        <v>16</v>
      </c>
      <c r="BQ15" t="s">
        <v>16</v>
      </c>
      <c r="BR15" t="s">
        <v>44</v>
      </c>
      <c r="BS15" t="s">
        <v>342</v>
      </c>
      <c r="BT15" t="str">
        <f>HYPERLINK("https%3A%2F%2Fwww.webofscience.com%2Fwos%2Fwoscc%2Ffull-record%2FWOS:000251368800050","View Full Record in Web of Science")</f>
        <v>View Full Record in Web of Science</v>
      </c>
    </row>
    <row r="16" spans="1:72" x14ac:dyDescent="0.2">
      <c r="A16" t="s">
        <v>46</v>
      </c>
      <c r="B16" t="s">
        <v>343</v>
      </c>
      <c r="C16" t="s">
        <v>16</v>
      </c>
      <c r="D16" t="s">
        <v>16</v>
      </c>
      <c r="E16" t="s">
        <v>16</v>
      </c>
      <c r="F16" t="s">
        <v>344</v>
      </c>
      <c r="G16" t="s">
        <v>16</v>
      </c>
      <c r="H16" t="s">
        <v>16</v>
      </c>
      <c r="I16" t="s">
        <v>345</v>
      </c>
      <c r="J16" t="s">
        <v>346</v>
      </c>
      <c r="K16" t="s">
        <v>16</v>
      </c>
      <c r="L16" t="s">
        <v>16</v>
      </c>
      <c r="M16" t="s">
        <v>22</v>
      </c>
      <c r="N16" t="s">
        <v>118</v>
      </c>
      <c r="O16" t="s">
        <v>16</v>
      </c>
      <c r="P16" t="s">
        <v>16</v>
      </c>
      <c r="Q16" t="s">
        <v>16</v>
      </c>
      <c r="R16" t="s">
        <v>16</v>
      </c>
      <c r="S16" t="s">
        <v>16</v>
      </c>
      <c r="T16" t="s">
        <v>347</v>
      </c>
      <c r="U16" t="s">
        <v>348</v>
      </c>
      <c r="V16" t="s">
        <v>349</v>
      </c>
      <c r="W16" t="s">
        <v>350</v>
      </c>
      <c r="X16" t="s">
        <v>351</v>
      </c>
      <c r="Y16" t="s">
        <v>352</v>
      </c>
      <c r="Z16" t="s">
        <v>353</v>
      </c>
      <c r="AA16" t="s">
        <v>354</v>
      </c>
      <c r="AB16" t="s">
        <v>16</v>
      </c>
      <c r="AC16" t="s">
        <v>355</v>
      </c>
      <c r="AD16" t="s">
        <v>355</v>
      </c>
      <c r="AE16" t="s">
        <v>356</v>
      </c>
      <c r="AF16" t="s">
        <v>16</v>
      </c>
      <c r="AG16">
        <v>85</v>
      </c>
      <c r="AH16">
        <v>31</v>
      </c>
      <c r="AI16">
        <v>44</v>
      </c>
      <c r="AJ16">
        <v>1</v>
      </c>
      <c r="AK16">
        <v>21</v>
      </c>
      <c r="AL16" t="s">
        <v>128</v>
      </c>
      <c r="AM16" t="s">
        <v>225</v>
      </c>
      <c r="AN16" t="s">
        <v>357</v>
      </c>
      <c r="AO16" t="s">
        <v>358</v>
      </c>
      <c r="AP16" t="s">
        <v>359</v>
      </c>
      <c r="AQ16" t="s">
        <v>16</v>
      </c>
      <c r="AR16" t="s">
        <v>360</v>
      </c>
      <c r="AS16" t="s">
        <v>361</v>
      </c>
      <c r="AT16" t="s">
        <v>318</v>
      </c>
      <c r="AU16">
        <v>2011</v>
      </c>
      <c r="AV16">
        <v>28</v>
      </c>
      <c r="AW16">
        <v>4</v>
      </c>
      <c r="AX16" t="s">
        <v>16</v>
      </c>
      <c r="AY16" t="s">
        <v>16</v>
      </c>
      <c r="AZ16" t="s">
        <v>16</v>
      </c>
      <c r="BA16" t="s">
        <v>16</v>
      </c>
      <c r="BB16">
        <v>421</v>
      </c>
      <c r="BC16">
        <v>436</v>
      </c>
      <c r="BD16" t="s">
        <v>16</v>
      </c>
      <c r="BE16" t="s">
        <v>362</v>
      </c>
      <c r="BF16" t="str">
        <f>HYPERLINK("http://dx.doi.org/10.1007/s11032-011-9630-6","http://dx.doi.org/10.1007/s11032-011-9630-6")</f>
        <v>http://dx.doi.org/10.1007/s11032-011-9630-6</v>
      </c>
      <c r="BG16" t="s">
        <v>16</v>
      </c>
      <c r="BH16" t="s">
        <v>16</v>
      </c>
      <c r="BI16">
        <v>16</v>
      </c>
      <c r="BJ16" t="s">
        <v>296</v>
      </c>
      <c r="BK16" t="s">
        <v>73</v>
      </c>
      <c r="BL16" t="s">
        <v>137</v>
      </c>
      <c r="BM16" t="s">
        <v>363</v>
      </c>
      <c r="BN16" t="s">
        <v>16</v>
      </c>
      <c r="BO16" t="s">
        <v>16</v>
      </c>
      <c r="BP16" t="s">
        <v>16</v>
      </c>
      <c r="BQ16" t="s">
        <v>16</v>
      </c>
      <c r="BR16" t="s">
        <v>44</v>
      </c>
      <c r="BS16" t="s">
        <v>364</v>
      </c>
      <c r="BT16" t="str">
        <f>HYPERLINK("https%3A%2F%2Fwww.webofscience.com%2Fwos%2Fwoscc%2Ffull-record%2FWOS:000297173800001","View Full Record in Web of Science")</f>
        <v>View Full Record in Web of Science</v>
      </c>
    </row>
    <row r="17" spans="1:72" x14ac:dyDescent="0.2">
      <c r="A17" t="s">
        <v>46</v>
      </c>
      <c r="B17" t="s">
        <v>365</v>
      </c>
      <c r="C17" t="s">
        <v>16</v>
      </c>
      <c r="D17" t="s">
        <v>16</v>
      </c>
      <c r="E17" t="s">
        <v>16</v>
      </c>
      <c r="F17" t="s">
        <v>366</v>
      </c>
      <c r="G17" t="s">
        <v>16</v>
      </c>
      <c r="H17" t="s">
        <v>16</v>
      </c>
      <c r="I17" t="s">
        <v>367</v>
      </c>
      <c r="J17" t="s">
        <v>368</v>
      </c>
      <c r="K17" t="s">
        <v>16</v>
      </c>
      <c r="L17" t="s">
        <v>16</v>
      </c>
      <c r="M17" t="s">
        <v>22</v>
      </c>
      <c r="N17" t="s">
        <v>118</v>
      </c>
      <c r="O17" t="s">
        <v>16</v>
      </c>
      <c r="P17" t="s">
        <v>16</v>
      </c>
      <c r="Q17" t="s">
        <v>16</v>
      </c>
      <c r="R17" t="s">
        <v>16</v>
      </c>
      <c r="S17" t="s">
        <v>16</v>
      </c>
      <c r="T17" t="s">
        <v>16</v>
      </c>
      <c r="U17" t="s">
        <v>369</v>
      </c>
      <c r="V17" t="s">
        <v>370</v>
      </c>
      <c r="W17" t="s">
        <v>371</v>
      </c>
      <c r="X17" t="s">
        <v>372</v>
      </c>
      <c r="Y17" t="s">
        <v>373</v>
      </c>
      <c r="Z17" t="s">
        <v>374</v>
      </c>
      <c r="AA17" t="s">
        <v>16</v>
      </c>
      <c r="AB17" t="s">
        <v>16</v>
      </c>
      <c r="AC17" t="s">
        <v>16</v>
      </c>
      <c r="AD17" t="s">
        <v>16</v>
      </c>
      <c r="AE17" t="s">
        <v>16</v>
      </c>
      <c r="AF17" t="s">
        <v>16</v>
      </c>
      <c r="AG17">
        <v>85</v>
      </c>
      <c r="AH17">
        <v>116</v>
      </c>
      <c r="AI17">
        <v>134</v>
      </c>
      <c r="AJ17">
        <v>1</v>
      </c>
      <c r="AK17">
        <v>29</v>
      </c>
      <c r="AL17" t="s">
        <v>375</v>
      </c>
      <c r="AM17" t="s">
        <v>376</v>
      </c>
      <c r="AN17" t="s">
        <v>377</v>
      </c>
      <c r="AO17" t="s">
        <v>378</v>
      </c>
      <c r="AP17" t="s">
        <v>379</v>
      </c>
      <c r="AQ17" t="s">
        <v>16</v>
      </c>
      <c r="AR17" t="s">
        <v>368</v>
      </c>
      <c r="AS17" t="s">
        <v>380</v>
      </c>
      <c r="AT17" t="s">
        <v>318</v>
      </c>
      <c r="AU17">
        <v>2020</v>
      </c>
      <c r="AV17">
        <v>125</v>
      </c>
      <c r="AW17">
        <v>6</v>
      </c>
      <c r="AX17" t="s">
        <v>16</v>
      </c>
      <c r="AY17" t="s">
        <v>16</v>
      </c>
      <c r="AZ17" t="s">
        <v>16</v>
      </c>
      <c r="BA17" t="s">
        <v>16</v>
      </c>
      <c r="BB17">
        <v>375</v>
      </c>
      <c r="BC17">
        <v>385</v>
      </c>
      <c r="BD17" t="s">
        <v>16</v>
      </c>
      <c r="BE17" t="s">
        <v>381</v>
      </c>
      <c r="BF17" t="str">
        <f>HYPERLINK("http://dx.doi.org/10.1038/s41437-020-0312-1","http://dx.doi.org/10.1038/s41437-020-0312-1")</f>
        <v>http://dx.doi.org/10.1038/s41437-020-0312-1</v>
      </c>
      <c r="BG17" t="s">
        <v>16</v>
      </c>
      <c r="BH17" t="s">
        <v>382</v>
      </c>
      <c r="BI17">
        <v>11</v>
      </c>
      <c r="BJ17" t="s">
        <v>296</v>
      </c>
      <c r="BK17" t="s">
        <v>73</v>
      </c>
      <c r="BL17" t="s">
        <v>383</v>
      </c>
      <c r="BM17" t="s">
        <v>384</v>
      </c>
      <c r="BN17">
        <v>32296132</v>
      </c>
      <c r="BO17" t="s">
        <v>385</v>
      </c>
      <c r="BP17" t="s">
        <v>16</v>
      </c>
      <c r="BQ17" t="s">
        <v>16</v>
      </c>
      <c r="BR17" t="s">
        <v>44</v>
      </c>
      <c r="BS17" t="s">
        <v>386</v>
      </c>
      <c r="BT17" t="str">
        <f>HYPERLINK("https%3A%2F%2Fwww.webofscience.com%2Fwos%2Fwoscc%2Ffull-record%2FWOS:000526263600001","View Full Record in Web of Science")</f>
        <v>View Full Record in Web of Science</v>
      </c>
    </row>
    <row r="18" spans="1:72" x14ac:dyDescent="0.2">
      <c r="A18" t="s">
        <v>46</v>
      </c>
      <c r="B18" t="s">
        <v>387</v>
      </c>
      <c r="C18" t="s">
        <v>16</v>
      </c>
      <c r="D18" t="s">
        <v>16</v>
      </c>
      <c r="E18" t="s">
        <v>16</v>
      </c>
      <c r="F18" t="s">
        <v>388</v>
      </c>
      <c r="G18" t="s">
        <v>16</v>
      </c>
      <c r="H18" t="s">
        <v>16</v>
      </c>
      <c r="I18" t="s">
        <v>389</v>
      </c>
      <c r="J18" t="s">
        <v>197</v>
      </c>
      <c r="K18" t="s">
        <v>16</v>
      </c>
      <c r="L18" t="s">
        <v>16</v>
      </c>
      <c r="M18" t="s">
        <v>22</v>
      </c>
      <c r="N18" t="s">
        <v>51</v>
      </c>
      <c r="O18" t="s">
        <v>16</v>
      </c>
      <c r="P18" t="s">
        <v>16</v>
      </c>
      <c r="Q18" t="s">
        <v>16</v>
      </c>
      <c r="R18" t="s">
        <v>16</v>
      </c>
      <c r="S18" t="s">
        <v>16</v>
      </c>
      <c r="T18" t="s">
        <v>390</v>
      </c>
      <c r="U18" t="s">
        <v>391</v>
      </c>
      <c r="V18" t="s">
        <v>392</v>
      </c>
      <c r="W18" t="s">
        <v>393</v>
      </c>
      <c r="X18" t="s">
        <v>394</v>
      </c>
      <c r="Y18" t="s">
        <v>395</v>
      </c>
      <c r="Z18" t="s">
        <v>396</v>
      </c>
      <c r="AA18" t="s">
        <v>16</v>
      </c>
      <c r="AB18" t="s">
        <v>397</v>
      </c>
      <c r="AC18" t="s">
        <v>398</v>
      </c>
      <c r="AD18" t="s">
        <v>399</v>
      </c>
      <c r="AE18" t="s">
        <v>400</v>
      </c>
      <c r="AF18" t="s">
        <v>16</v>
      </c>
      <c r="AG18">
        <v>34</v>
      </c>
      <c r="AH18">
        <v>25</v>
      </c>
      <c r="AI18">
        <v>28</v>
      </c>
      <c r="AJ18">
        <v>1</v>
      </c>
      <c r="AK18">
        <v>34</v>
      </c>
      <c r="AL18" t="s">
        <v>206</v>
      </c>
      <c r="AM18" t="s">
        <v>207</v>
      </c>
      <c r="AN18" t="s">
        <v>208</v>
      </c>
      <c r="AO18" t="s">
        <v>209</v>
      </c>
      <c r="AP18" t="s">
        <v>16</v>
      </c>
      <c r="AQ18" t="s">
        <v>16</v>
      </c>
      <c r="AR18" t="s">
        <v>210</v>
      </c>
      <c r="AS18" t="s">
        <v>211</v>
      </c>
      <c r="AT18" t="s">
        <v>401</v>
      </c>
      <c r="AU18">
        <v>2019</v>
      </c>
      <c r="AV18">
        <v>9</v>
      </c>
      <c r="AW18" t="s">
        <v>16</v>
      </c>
      <c r="AX18" t="s">
        <v>16</v>
      </c>
      <c r="AY18" t="s">
        <v>16</v>
      </c>
      <c r="AZ18" t="s">
        <v>16</v>
      </c>
      <c r="BA18" t="s">
        <v>16</v>
      </c>
      <c r="BB18" t="s">
        <v>16</v>
      </c>
      <c r="BC18" t="s">
        <v>16</v>
      </c>
      <c r="BD18">
        <v>1926</v>
      </c>
      <c r="BE18" t="s">
        <v>402</v>
      </c>
      <c r="BF18" t="str">
        <f>HYPERLINK("http://dx.doi.org/10.3389/fpls.2018.01926","http://dx.doi.org/10.3389/fpls.2018.01926")</f>
        <v>http://dx.doi.org/10.3389/fpls.2018.01926</v>
      </c>
      <c r="BG18" t="s">
        <v>16</v>
      </c>
      <c r="BH18" t="s">
        <v>16</v>
      </c>
      <c r="BI18">
        <v>15</v>
      </c>
      <c r="BJ18" t="s">
        <v>214</v>
      </c>
      <c r="BK18" t="s">
        <v>73</v>
      </c>
      <c r="BL18" t="s">
        <v>214</v>
      </c>
      <c r="BM18" t="s">
        <v>403</v>
      </c>
      <c r="BN18">
        <v>30687343</v>
      </c>
      <c r="BO18" t="s">
        <v>216</v>
      </c>
      <c r="BP18" t="s">
        <v>16</v>
      </c>
      <c r="BQ18" t="s">
        <v>16</v>
      </c>
      <c r="BR18" t="s">
        <v>44</v>
      </c>
      <c r="BS18" t="s">
        <v>404</v>
      </c>
      <c r="BT18" t="str">
        <f>HYPERLINK("https%3A%2F%2Fwww.webofscience.com%2Fwos%2Fwoscc%2Ffull-record%2FWOS:000455305300001","View Full Record in Web of Science")</f>
        <v>View Full Record in Web of Science</v>
      </c>
    </row>
    <row r="19" spans="1:72" x14ac:dyDescent="0.2">
      <c r="A19" t="s">
        <v>46</v>
      </c>
      <c r="B19" t="s">
        <v>405</v>
      </c>
      <c r="C19" t="s">
        <v>16</v>
      </c>
      <c r="D19" t="s">
        <v>16</v>
      </c>
      <c r="E19" t="s">
        <v>16</v>
      </c>
      <c r="F19" t="s">
        <v>406</v>
      </c>
      <c r="G19" t="s">
        <v>16</v>
      </c>
      <c r="H19" t="s">
        <v>16</v>
      </c>
      <c r="I19" t="s">
        <v>407</v>
      </c>
      <c r="J19" t="s">
        <v>117</v>
      </c>
      <c r="K19" t="s">
        <v>16</v>
      </c>
      <c r="L19" t="s">
        <v>16</v>
      </c>
      <c r="M19" t="s">
        <v>22</v>
      </c>
      <c r="N19" t="s">
        <v>51</v>
      </c>
      <c r="O19" t="s">
        <v>16</v>
      </c>
      <c r="P19" t="s">
        <v>16</v>
      </c>
      <c r="Q19" t="s">
        <v>16</v>
      </c>
      <c r="R19" t="s">
        <v>16</v>
      </c>
      <c r="S19" t="s">
        <v>16</v>
      </c>
      <c r="T19" t="s">
        <v>16</v>
      </c>
      <c r="U19" t="s">
        <v>408</v>
      </c>
      <c r="V19" t="s">
        <v>409</v>
      </c>
      <c r="W19" t="s">
        <v>410</v>
      </c>
      <c r="X19" t="s">
        <v>411</v>
      </c>
      <c r="Y19" t="s">
        <v>412</v>
      </c>
      <c r="Z19" t="s">
        <v>413</v>
      </c>
      <c r="AA19" t="s">
        <v>414</v>
      </c>
      <c r="AB19" t="s">
        <v>415</v>
      </c>
      <c r="AC19" t="s">
        <v>416</v>
      </c>
      <c r="AD19" t="s">
        <v>417</v>
      </c>
      <c r="AE19" t="s">
        <v>418</v>
      </c>
      <c r="AF19" t="s">
        <v>16</v>
      </c>
      <c r="AG19">
        <v>53</v>
      </c>
      <c r="AH19">
        <v>0</v>
      </c>
      <c r="AI19">
        <v>0</v>
      </c>
      <c r="AJ19">
        <v>0</v>
      </c>
      <c r="AK19">
        <v>3</v>
      </c>
      <c r="AL19" t="s">
        <v>128</v>
      </c>
      <c r="AM19" t="s">
        <v>129</v>
      </c>
      <c r="AN19" t="s">
        <v>130</v>
      </c>
      <c r="AO19" t="s">
        <v>131</v>
      </c>
      <c r="AP19" t="s">
        <v>132</v>
      </c>
      <c r="AQ19" t="s">
        <v>16</v>
      </c>
      <c r="AR19" t="s">
        <v>133</v>
      </c>
      <c r="AS19" t="s">
        <v>134</v>
      </c>
      <c r="AT19" t="s">
        <v>419</v>
      </c>
      <c r="AU19">
        <v>2024</v>
      </c>
      <c r="AV19">
        <v>137</v>
      </c>
      <c r="AW19">
        <v>8</v>
      </c>
      <c r="AX19" t="s">
        <v>16</v>
      </c>
      <c r="AY19" t="s">
        <v>16</v>
      </c>
      <c r="AZ19" t="s">
        <v>16</v>
      </c>
      <c r="BA19" t="s">
        <v>16</v>
      </c>
      <c r="BB19" t="s">
        <v>16</v>
      </c>
      <c r="BC19" t="s">
        <v>16</v>
      </c>
      <c r="BD19">
        <v>197</v>
      </c>
      <c r="BE19" t="s">
        <v>420</v>
      </c>
      <c r="BF19" t="str">
        <f>HYPERLINK("http://dx.doi.org/10.1007/s00122-024-04644-7","http://dx.doi.org/10.1007/s00122-024-04644-7")</f>
        <v>http://dx.doi.org/10.1007/s00122-024-04644-7</v>
      </c>
      <c r="BG19" t="s">
        <v>16</v>
      </c>
      <c r="BH19" t="s">
        <v>16</v>
      </c>
      <c r="BI19">
        <v>21</v>
      </c>
      <c r="BJ19" t="s">
        <v>296</v>
      </c>
      <c r="BK19" t="s">
        <v>73</v>
      </c>
      <c r="BL19" t="s">
        <v>137</v>
      </c>
      <c r="BM19" t="s">
        <v>421</v>
      </c>
      <c r="BN19">
        <v>39105792</v>
      </c>
      <c r="BO19" t="s">
        <v>139</v>
      </c>
      <c r="BP19" t="s">
        <v>16</v>
      </c>
      <c r="BQ19" t="s">
        <v>16</v>
      </c>
      <c r="BR19" t="s">
        <v>44</v>
      </c>
      <c r="BS19" t="s">
        <v>422</v>
      </c>
      <c r="BT19" t="str">
        <f>HYPERLINK("https%3A%2F%2Fwww.webofscience.com%2Fwos%2Fwoscc%2Ffull-record%2FWOS:001285315200001","View Full Record in Web of Science")</f>
        <v>View Full Record in Web of Science</v>
      </c>
    </row>
    <row r="20" spans="1:72" x14ac:dyDescent="0.2">
      <c r="A20" t="s">
        <v>14</v>
      </c>
      <c r="B20" t="s">
        <v>423</v>
      </c>
      <c r="C20" t="s">
        <v>16</v>
      </c>
      <c r="D20" t="s">
        <v>424</v>
      </c>
      <c r="E20" t="s">
        <v>16</v>
      </c>
      <c r="F20" t="s">
        <v>423</v>
      </c>
      <c r="G20" t="s">
        <v>16</v>
      </c>
      <c r="H20" t="s">
        <v>16</v>
      </c>
      <c r="I20" t="s">
        <v>425</v>
      </c>
      <c r="J20" t="s">
        <v>426</v>
      </c>
      <c r="K20" t="s">
        <v>427</v>
      </c>
      <c r="L20" t="s">
        <v>16</v>
      </c>
      <c r="M20" t="s">
        <v>22</v>
      </c>
      <c r="N20" t="s">
        <v>428</v>
      </c>
      <c r="O20" t="s">
        <v>429</v>
      </c>
      <c r="P20" t="s">
        <v>430</v>
      </c>
      <c r="Q20" t="s">
        <v>431</v>
      </c>
      <c r="R20" t="s">
        <v>16</v>
      </c>
      <c r="S20" t="s">
        <v>16</v>
      </c>
      <c r="T20" t="s">
        <v>432</v>
      </c>
      <c r="U20" t="s">
        <v>16</v>
      </c>
      <c r="V20" t="s">
        <v>433</v>
      </c>
      <c r="W20" t="s">
        <v>434</v>
      </c>
      <c r="X20" t="s">
        <v>156</v>
      </c>
      <c r="Y20" t="s">
        <v>435</v>
      </c>
      <c r="Z20" t="s">
        <v>16</v>
      </c>
      <c r="AA20" t="s">
        <v>436</v>
      </c>
      <c r="AB20" t="s">
        <v>437</v>
      </c>
      <c r="AC20" t="s">
        <v>16</v>
      </c>
      <c r="AD20" t="s">
        <v>16</v>
      </c>
      <c r="AE20" t="s">
        <v>16</v>
      </c>
      <c r="AF20" t="s">
        <v>16</v>
      </c>
      <c r="AG20">
        <v>4</v>
      </c>
      <c r="AH20">
        <v>13</v>
      </c>
      <c r="AI20">
        <v>18</v>
      </c>
      <c r="AJ20">
        <v>0</v>
      </c>
      <c r="AK20">
        <v>1</v>
      </c>
      <c r="AL20" t="s">
        <v>438</v>
      </c>
      <c r="AM20" t="s">
        <v>289</v>
      </c>
      <c r="AN20" t="s">
        <v>439</v>
      </c>
      <c r="AO20" t="s">
        <v>440</v>
      </c>
      <c r="AP20" t="s">
        <v>16</v>
      </c>
      <c r="AQ20" t="s">
        <v>441</v>
      </c>
      <c r="AR20" t="s">
        <v>442</v>
      </c>
      <c r="AS20" t="s">
        <v>16</v>
      </c>
      <c r="AT20" t="s">
        <v>16</v>
      </c>
      <c r="AU20">
        <v>1999</v>
      </c>
      <c r="AV20">
        <v>1585</v>
      </c>
      <c r="AW20" t="s">
        <v>16</v>
      </c>
      <c r="AX20" t="s">
        <v>16</v>
      </c>
      <c r="AY20" t="s">
        <v>16</v>
      </c>
      <c r="AZ20" t="s">
        <v>16</v>
      </c>
      <c r="BA20" t="s">
        <v>16</v>
      </c>
      <c r="BB20">
        <v>171</v>
      </c>
      <c r="BC20">
        <v>178</v>
      </c>
      <c r="BD20" t="s">
        <v>16</v>
      </c>
      <c r="BE20" t="s">
        <v>16</v>
      </c>
      <c r="BF20" t="s">
        <v>16</v>
      </c>
      <c r="BG20" t="s">
        <v>16</v>
      </c>
      <c r="BH20" t="s">
        <v>16</v>
      </c>
      <c r="BI20">
        <v>8</v>
      </c>
      <c r="BJ20" t="s">
        <v>443</v>
      </c>
      <c r="BK20" t="s">
        <v>444</v>
      </c>
      <c r="BL20" t="s">
        <v>445</v>
      </c>
      <c r="BM20" t="s">
        <v>446</v>
      </c>
      <c r="BN20" t="s">
        <v>16</v>
      </c>
      <c r="BO20" t="s">
        <v>16</v>
      </c>
      <c r="BP20" t="s">
        <v>16</v>
      </c>
      <c r="BQ20" t="s">
        <v>16</v>
      </c>
      <c r="BR20" t="s">
        <v>44</v>
      </c>
      <c r="BS20" t="s">
        <v>447</v>
      </c>
      <c r="BT20" t="str">
        <f>HYPERLINK("https%3A%2F%2Fwww.webofscience.com%2Fwos%2Fwoscc%2Ffull-record%2FWOS:000086778800022","View Full Record in Web of Science")</f>
        <v>View Full Record in Web of Science</v>
      </c>
    </row>
    <row r="21" spans="1:72" x14ac:dyDescent="0.2">
      <c r="A21" t="s">
        <v>46</v>
      </c>
      <c r="B21" t="s">
        <v>448</v>
      </c>
      <c r="C21" t="s">
        <v>16</v>
      </c>
      <c r="D21" t="s">
        <v>16</v>
      </c>
      <c r="E21" t="s">
        <v>16</v>
      </c>
      <c r="F21" t="s">
        <v>449</v>
      </c>
      <c r="G21" t="s">
        <v>16</v>
      </c>
      <c r="H21" t="s">
        <v>16</v>
      </c>
      <c r="I21" t="s">
        <v>450</v>
      </c>
      <c r="J21" t="s">
        <v>368</v>
      </c>
      <c r="K21" t="s">
        <v>16</v>
      </c>
      <c r="L21" t="s">
        <v>16</v>
      </c>
      <c r="M21" t="s">
        <v>22</v>
      </c>
      <c r="N21" t="s">
        <v>51</v>
      </c>
      <c r="O21" t="s">
        <v>16</v>
      </c>
      <c r="P21" t="s">
        <v>16</v>
      </c>
      <c r="Q21" t="s">
        <v>16</v>
      </c>
      <c r="R21" t="s">
        <v>16</v>
      </c>
      <c r="S21" t="s">
        <v>16</v>
      </c>
      <c r="T21" t="s">
        <v>16</v>
      </c>
      <c r="U21" t="s">
        <v>451</v>
      </c>
      <c r="V21" t="s">
        <v>452</v>
      </c>
      <c r="W21" t="s">
        <v>453</v>
      </c>
      <c r="X21" t="s">
        <v>454</v>
      </c>
      <c r="Y21" t="s">
        <v>455</v>
      </c>
      <c r="Z21" t="s">
        <v>456</v>
      </c>
      <c r="AA21" t="s">
        <v>457</v>
      </c>
      <c r="AB21" t="s">
        <v>458</v>
      </c>
      <c r="AC21" t="s">
        <v>459</v>
      </c>
      <c r="AD21" t="s">
        <v>460</v>
      </c>
      <c r="AE21" t="s">
        <v>461</v>
      </c>
      <c r="AF21" t="s">
        <v>16</v>
      </c>
      <c r="AG21">
        <v>26</v>
      </c>
      <c r="AH21">
        <v>13</v>
      </c>
      <c r="AI21">
        <v>13</v>
      </c>
      <c r="AJ21">
        <v>0</v>
      </c>
      <c r="AK21">
        <v>9</v>
      </c>
      <c r="AL21" t="s">
        <v>462</v>
      </c>
      <c r="AM21" t="s">
        <v>376</v>
      </c>
      <c r="AN21" t="s">
        <v>463</v>
      </c>
      <c r="AO21" t="s">
        <v>378</v>
      </c>
      <c r="AP21" t="s">
        <v>379</v>
      </c>
      <c r="AQ21" t="s">
        <v>16</v>
      </c>
      <c r="AR21" t="s">
        <v>368</v>
      </c>
      <c r="AS21" t="s">
        <v>380</v>
      </c>
      <c r="AT21" t="s">
        <v>464</v>
      </c>
      <c r="AU21">
        <v>2019</v>
      </c>
      <c r="AV21">
        <v>122</v>
      </c>
      <c r="AW21">
        <v>5</v>
      </c>
      <c r="AX21" t="s">
        <v>16</v>
      </c>
      <c r="AY21" t="s">
        <v>16</v>
      </c>
      <c r="AZ21" t="s">
        <v>16</v>
      </c>
      <c r="BA21" t="s">
        <v>16</v>
      </c>
      <c r="BB21">
        <v>684</v>
      </c>
      <c r="BC21">
        <v>695</v>
      </c>
      <c r="BD21" t="s">
        <v>16</v>
      </c>
      <c r="BE21" t="s">
        <v>465</v>
      </c>
      <c r="BF21" t="str">
        <f>HYPERLINK("http://dx.doi.org/10.1038/s41437-018-0156-0","http://dx.doi.org/10.1038/s41437-018-0156-0")</f>
        <v>http://dx.doi.org/10.1038/s41437-018-0156-0</v>
      </c>
      <c r="BG21" t="s">
        <v>16</v>
      </c>
      <c r="BH21" t="s">
        <v>16</v>
      </c>
      <c r="BI21">
        <v>12</v>
      </c>
      <c r="BJ21" t="s">
        <v>296</v>
      </c>
      <c r="BK21" t="s">
        <v>73</v>
      </c>
      <c r="BL21" t="s">
        <v>383</v>
      </c>
      <c r="BM21" t="s">
        <v>466</v>
      </c>
      <c r="BN21">
        <v>30368530</v>
      </c>
      <c r="BO21" t="s">
        <v>139</v>
      </c>
      <c r="BP21" t="s">
        <v>16</v>
      </c>
      <c r="BQ21" t="s">
        <v>16</v>
      </c>
      <c r="BR21" t="s">
        <v>44</v>
      </c>
      <c r="BS21" t="s">
        <v>467</v>
      </c>
      <c r="BT21" t="str">
        <f>HYPERLINK("https%3A%2F%2Fwww.webofscience.com%2Fwos%2Fwoscc%2Ffull-record%2FWOS:000464018400015","View Full Record in Web of Science")</f>
        <v>View Full Record in Web of Science</v>
      </c>
    </row>
    <row r="22" spans="1:72" x14ac:dyDescent="0.2">
      <c r="A22" t="s">
        <v>46</v>
      </c>
      <c r="B22" t="s">
        <v>468</v>
      </c>
      <c r="C22" t="s">
        <v>16</v>
      </c>
      <c r="D22" t="s">
        <v>16</v>
      </c>
      <c r="E22" t="s">
        <v>16</v>
      </c>
      <c r="F22" t="s">
        <v>469</v>
      </c>
      <c r="G22" t="s">
        <v>16</v>
      </c>
      <c r="H22" t="s">
        <v>16</v>
      </c>
      <c r="I22" t="s">
        <v>470</v>
      </c>
      <c r="J22" t="s">
        <v>197</v>
      </c>
      <c r="K22" t="s">
        <v>16</v>
      </c>
      <c r="L22" t="s">
        <v>16</v>
      </c>
      <c r="M22" t="s">
        <v>22</v>
      </c>
      <c r="N22" t="s">
        <v>51</v>
      </c>
      <c r="O22" t="s">
        <v>16</v>
      </c>
      <c r="P22" t="s">
        <v>16</v>
      </c>
      <c r="Q22" t="s">
        <v>16</v>
      </c>
      <c r="R22" t="s">
        <v>16</v>
      </c>
      <c r="S22" t="s">
        <v>16</v>
      </c>
      <c r="T22" t="s">
        <v>471</v>
      </c>
      <c r="U22" t="s">
        <v>472</v>
      </c>
      <c r="V22" t="s">
        <v>473</v>
      </c>
      <c r="W22" t="s">
        <v>474</v>
      </c>
      <c r="X22" t="s">
        <v>475</v>
      </c>
      <c r="Y22" t="s">
        <v>476</v>
      </c>
      <c r="Z22" t="s">
        <v>477</v>
      </c>
      <c r="AA22" t="s">
        <v>478</v>
      </c>
      <c r="AB22" t="s">
        <v>479</v>
      </c>
      <c r="AC22" t="s">
        <v>480</v>
      </c>
      <c r="AD22" t="s">
        <v>481</v>
      </c>
      <c r="AE22" t="s">
        <v>482</v>
      </c>
      <c r="AF22" t="s">
        <v>16</v>
      </c>
      <c r="AG22">
        <v>116</v>
      </c>
      <c r="AH22">
        <v>7</v>
      </c>
      <c r="AI22">
        <v>7</v>
      </c>
      <c r="AJ22">
        <v>1</v>
      </c>
      <c r="AK22">
        <v>8</v>
      </c>
      <c r="AL22" t="s">
        <v>206</v>
      </c>
      <c r="AM22" t="s">
        <v>207</v>
      </c>
      <c r="AN22" t="s">
        <v>208</v>
      </c>
      <c r="AO22" t="s">
        <v>209</v>
      </c>
      <c r="AP22" t="s">
        <v>16</v>
      </c>
      <c r="AQ22" t="s">
        <v>16</v>
      </c>
      <c r="AR22" t="s">
        <v>210</v>
      </c>
      <c r="AS22" t="s">
        <v>211</v>
      </c>
      <c r="AT22" t="s">
        <v>483</v>
      </c>
      <c r="AU22">
        <v>2021</v>
      </c>
      <c r="AV22">
        <v>12</v>
      </c>
      <c r="AW22" t="s">
        <v>16</v>
      </c>
      <c r="AX22" t="s">
        <v>16</v>
      </c>
      <c r="AY22" t="s">
        <v>16</v>
      </c>
      <c r="AZ22" t="s">
        <v>16</v>
      </c>
      <c r="BA22" t="s">
        <v>16</v>
      </c>
      <c r="BB22" t="s">
        <v>16</v>
      </c>
      <c r="BC22" t="s">
        <v>16</v>
      </c>
      <c r="BD22">
        <v>663565</v>
      </c>
      <c r="BE22" t="s">
        <v>484</v>
      </c>
      <c r="BF22" t="str">
        <f>HYPERLINK("http://dx.doi.org/10.3389/fpls.2021.663565","http://dx.doi.org/10.3389/fpls.2021.663565")</f>
        <v>http://dx.doi.org/10.3389/fpls.2021.663565</v>
      </c>
      <c r="BG22" t="s">
        <v>16</v>
      </c>
      <c r="BH22" t="s">
        <v>16</v>
      </c>
      <c r="BI22">
        <v>10</v>
      </c>
      <c r="BJ22" t="s">
        <v>214</v>
      </c>
      <c r="BK22" t="s">
        <v>73</v>
      </c>
      <c r="BL22" t="s">
        <v>214</v>
      </c>
      <c r="BM22" t="s">
        <v>485</v>
      </c>
      <c r="BN22">
        <v>34149761</v>
      </c>
      <c r="BO22" t="s">
        <v>216</v>
      </c>
      <c r="BP22" t="s">
        <v>16</v>
      </c>
      <c r="BQ22" t="s">
        <v>16</v>
      </c>
      <c r="BR22" t="s">
        <v>44</v>
      </c>
      <c r="BS22" t="s">
        <v>486</v>
      </c>
      <c r="BT22" t="str">
        <f>HYPERLINK("https%3A%2F%2Fwww.webofscience.com%2Fwos%2Fwoscc%2Ffull-record%2FWOS:000662938800001","View Full Record in Web of Science")</f>
        <v>View Full Record in Web of Science</v>
      </c>
    </row>
    <row r="23" spans="1:72" x14ac:dyDescent="0.2">
      <c r="A23" t="s">
        <v>46</v>
      </c>
      <c r="B23" t="s">
        <v>487</v>
      </c>
      <c r="C23" t="s">
        <v>16</v>
      </c>
      <c r="D23" t="s">
        <v>16</v>
      </c>
      <c r="E23" t="s">
        <v>16</v>
      </c>
      <c r="F23" t="s">
        <v>488</v>
      </c>
      <c r="G23" t="s">
        <v>16</v>
      </c>
      <c r="H23" t="s">
        <v>16</v>
      </c>
      <c r="I23" t="s">
        <v>489</v>
      </c>
      <c r="J23" t="s">
        <v>490</v>
      </c>
      <c r="K23" t="s">
        <v>16</v>
      </c>
      <c r="L23" t="s">
        <v>16</v>
      </c>
      <c r="M23" t="s">
        <v>22</v>
      </c>
      <c r="N23" t="s">
        <v>51</v>
      </c>
      <c r="O23" t="s">
        <v>16</v>
      </c>
      <c r="P23" t="s">
        <v>16</v>
      </c>
      <c r="Q23" t="s">
        <v>16</v>
      </c>
      <c r="R23" t="s">
        <v>16</v>
      </c>
      <c r="S23" t="s">
        <v>16</v>
      </c>
      <c r="T23" t="s">
        <v>491</v>
      </c>
      <c r="U23" t="s">
        <v>492</v>
      </c>
      <c r="V23" t="s">
        <v>493</v>
      </c>
      <c r="W23" t="s">
        <v>494</v>
      </c>
      <c r="X23" t="s">
        <v>495</v>
      </c>
      <c r="Y23" t="s">
        <v>496</v>
      </c>
      <c r="Z23" t="s">
        <v>497</v>
      </c>
      <c r="AA23" t="s">
        <v>498</v>
      </c>
      <c r="AB23" t="s">
        <v>499</v>
      </c>
      <c r="AC23" t="s">
        <v>500</v>
      </c>
      <c r="AD23" t="s">
        <v>501</v>
      </c>
      <c r="AE23" t="s">
        <v>502</v>
      </c>
      <c r="AF23" t="s">
        <v>16</v>
      </c>
      <c r="AG23">
        <v>50</v>
      </c>
      <c r="AH23">
        <v>7</v>
      </c>
      <c r="AI23">
        <v>8</v>
      </c>
      <c r="AJ23">
        <v>2</v>
      </c>
      <c r="AK23">
        <v>8</v>
      </c>
      <c r="AL23" t="s">
        <v>503</v>
      </c>
      <c r="AM23" t="s">
        <v>376</v>
      </c>
      <c r="AN23" t="s">
        <v>504</v>
      </c>
      <c r="AO23" t="s">
        <v>505</v>
      </c>
      <c r="AP23" t="s">
        <v>16</v>
      </c>
      <c r="AQ23" t="s">
        <v>16</v>
      </c>
      <c r="AR23" t="s">
        <v>490</v>
      </c>
      <c r="AS23" t="s">
        <v>506</v>
      </c>
      <c r="AT23" t="s">
        <v>507</v>
      </c>
      <c r="AU23">
        <v>2020</v>
      </c>
      <c r="AV23">
        <v>21</v>
      </c>
      <c r="AW23">
        <v>1</v>
      </c>
      <c r="AX23" t="s">
        <v>16</v>
      </c>
      <c r="AY23" t="s">
        <v>16</v>
      </c>
      <c r="AZ23" t="s">
        <v>16</v>
      </c>
      <c r="BA23" t="s">
        <v>16</v>
      </c>
      <c r="BB23" t="s">
        <v>16</v>
      </c>
      <c r="BC23" t="s">
        <v>16</v>
      </c>
      <c r="BD23">
        <v>43</v>
      </c>
      <c r="BE23" t="s">
        <v>508</v>
      </c>
      <c r="BF23" t="str">
        <f>HYPERLINK("http://dx.doi.org/10.1186/s12864-019-6429-z","http://dx.doi.org/10.1186/s12864-019-6429-z")</f>
        <v>http://dx.doi.org/10.1186/s12864-019-6429-z</v>
      </c>
      <c r="BG23" t="s">
        <v>16</v>
      </c>
      <c r="BH23" t="s">
        <v>16</v>
      </c>
      <c r="BI23">
        <v>18</v>
      </c>
      <c r="BJ23" t="s">
        <v>296</v>
      </c>
      <c r="BK23" t="s">
        <v>73</v>
      </c>
      <c r="BL23" t="s">
        <v>509</v>
      </c>
      <c r="BM23" t="s">
        <v>510</v>
      </c>
      <c r="BN23">
        <v>31937245</v>
      </c>
      <c r="BO23" t="s">
        <v>511</v>
      </c>
      <c r="BP23" t="s">
        <v>16</v>
      </c>
      <c r="BQ23" t="s">
        <v>16</v>
      </c>
      <c r="BR23" t="s">
        <v>44</v>
      </c>
      <c r="BS23" t="s">
        <v>512</v>
      </c>
      <c r="BT23" t="str">
        <f>HYPERLINK("https%3A%2F%2Fwww.webofscience.com%2Fwos%2Fwoscc%2Ffull-record%2FWOS:000521340000004","View Full Record in Web of Science")</f>
        <v>View Full Record in Web of Science</v>
      </c>
    </row>
    <row r="24" spans="1:72" x14ac:dyDescent="0.2">
      <c r="A24" t="s">
        <v>46</v>
      </c>
      <c r="B24" t="s">
        <v>513</v>
      </c>
      <c r="C24" t="s">
        <v>16</v>
      </c>
      <c r="D24" t="s">
        <v>16</v>
      </c>
      <c r="E24" t="s">
        <v>16</v>
      </c>
      <c r="F24" t="s">
        <v>514</v>
      </c>
      <c r="G24" t="s">
        <v>16</v>
      </c>
      <c r="H24" t="s">
        <v>16</v>
      </c>
      <c r="I24" t="s">
        <v>515</v>
      </c>
      <c r="J24" t="s">
        <v>516</v>
      </c>
      <c r="K24" t="s">
        <v>16</v>
      </c>
      <c r="L24" t="s">
        <v>16</v>
      </c>
      <c r="M24" t="s">
        <v>253</v>
      </c>
      <c r="N24" t="s">
        <v>51</v>
      </c>
      <c r="O24" t="s">
        <v>16</v>
      </c>
      <c r="P24" t="s">
        <v>16</v>
      </c>
      <c r="Q24" t="s">
        <v>16</v>
      </c>
      <c r="R24" t="s">
        <v>16</v>
      </c>
      <c r="S24" t="s">
        <v>16</v>
      </c>
      <c r="T24" t="s">
        <v>517</v>
      </c>
      <c r="U24" t="s">
        <v>16</v>
      </c>
      <c r="V24" t="s">
        <v>518</v>
      </c>
      <c r="W24" t="s">
        <v>519</v>
      </c>
      <c r="X24" t="s">
        <v>520</v>
      </c>
      <c r="Y24" t="s">
        <v>521</v>
      </c>
      <c r="Z24" t="s">
        <v>522</v>
      </c>
      <c r="AA24" t="s">
        <v>523</v>
      </c>
      <c r="AB24" t="s">
        <v>524</v>
      </c>
      <c r="AC24" t="s">
        <v>16</v>
      </c>
      <c r="AD24" t="s">
        <v>16</v>
      </c>
      <c r="AE24" t="s">
        <v>16</v>
      </c>
      <c r="AF24" t="s">
        <v>16</v>
      </c>
      <c r="AG24">
        <v>18</v>
      </c>
      <c r="AH24">
        <v>9</v>
      </c>
      <c r="AI24">
        <v>9</v>
      </c>
      <c r="AJ24">
        <v>0</v>
      </c>
      <c r="AK24">
        <v>2</v>
      </c>
      <c r="AL24" t="s">
        <v>525</v>
      </c>
      <c r="AM24" t="s">
        <v>526</v>
      </c>
      <c r="AN24" t="s">
        <v>527</v>
      </c>
      <c r="AO24" t="s">
        <v>528</v>
      </c>
      <c r="AP24" t="s">
        <v>529</v>
      </c>
      <c r="AQ24" t="s">
        <v>16</v>
      </c>
      <c r="AR24" t="s">
        <v>530</v>
      </c>
      <c r="AS24" t="s">
        <v>531</v>
      </c>
      <c r="AT24" t="s">
        <v>16</v>
      </c>
      <c r="AU24">
        <v>2009</v>
      </c>
      <c r="AV24">
        <v>39</v>
      </c>
      <c r="AW24">
        <v>9</v>
      </c>
      <c r="AX24" t="s">
        <v>16</v>
      </c>
      <c r="AY24" t="s">
        <v>16</v>
      </c>
      <c r="AZ24" t="s">
        <v>16</v>
      </c>
      <c r="BA24" t="s">
        <v>16</v>
      </c>
      <c r="BB24">
        <v>2425</v>
      </c>
      <c r="BC24">
        <v>2430</v>
      </c>
      <c r="BD24" t="s">
        <v>16</v>
      </c>
      <c r="BE24" t="s">
        <v>532</v>
      </c>
      <c r="BF24" t="str">
        <f>HYPERLINK("http://dx.doi.org/10.1590/S0103-84782009005000209","http://dx.doi.org/10.1590/S0103-84782009005000209")</f>
        <v>http://dx.doi.org/10.1590/S0103-84782009005000209</v>
      </c>
      <c r="BG24" t="s">
        <v>16</v>
      </c>
      <c r="BH24" t="s">
        <v>16</v>
      </c>
      <c r="BI24">
        <v>6</v>
      </c>
      <c r="BJ24" t="s">
        <v>40</v>
      </c>
      <c r="BK24" t="s">
        <v>73</v>
      </c>
      <c r="BL24" t="s">
        <v>42</v>
      </c>
      <c r="BM24" t="s">
        <v>533</v>
      </c>
      <c r="BN24" t="s">
        <v>16</v>
      </c>
      <c r="BO24" t="s">
        <v>534</v>
      </c>
      <c r="BP24" t="s">
        <v>16</v>
      </c>
      <c r="BQ24" t="s">
        <v>16</v>
      </c>
      <c r="BR24" t="s">
        <v>44</v>
      </c>
      <c r="BS24" t="s">
        <v>535</v>
      </c>
      <c r="BT24" t="str">
        <f>HYPERLINK("https%3A%2F%2Fwww.webofscience.com%2Fwos%2Fwoscc%2Ffull-record%2FWOS:000272949900007","View Full Record in Web of Science")</f>
        <v>View Full Record in Web of Science</v>
      </c>
    </row>
    <row r="25" spans="1:72" x14ac:dyDescent="0.2">
      <c r="A25" t="s">
        <v>46</v>
      </c>
      <c r="B25" t="s">
        <v>536</v>
      </c>
      <c r="C25" t="s">
        <v>16</v>
      </c>
      <c r="D25" t="s">
        <v>16</v>
      </c>
      <c r="E25" t="s">
        <v>16</v>
      </c>
      <c r="F25" t="s">
        <v>537</v>
      </c>
      <c r="G25" t="s">
        <v>16</v>
      </c>
      <c r="H25" t="s">
        <v>16</v>
      </c>
      <c r="I25" t="s">
        <v>538</v>
      </c>
      <c r="J25" t="s">
        <v>197</v>
      </c>
      <c r="K25" t="s">
        <v>16</v>
      </c>
      <c r="L25" t="s">
        <v>16</v>
      </c>
      <c r="M25" t="s">
        <v>22</v>
      </c>
      <c r="N25" t="s">
        <v>118</v>
      </c>
      <c r="O25" t="s">
        <v>16</v>
      </c>
      <c r="P25" t="s">
        <v>16</v>
      </c>
      <c r="Q25" t="s">
        <v>16</v>
      </c>
      <c r="R25" t="s">
        <v>16</v>
      </c>
      <c r="S25" t="s">
        <v>16</v>
      </c>
      <c r="T25" t="s">
        <v>539</v>
      </c>
      <c r="U25" t="s">
        <v>540</v>
      </c>
      <c r="V25" t="s">
        <v>541</v>
      </c>
      <c r="W25" t="s">
        <v>542</v>
      </c>
      <c r="X25" t="s">
        <v>543</v>
      </c>
      <c r="Y25" t="s">
        <v>544</v>
      </c>
      <c r="Z25" t="s">
        <v>545</v>
      </c>
      <c r="AA25" t="s">
        <v>16</v>
      </c>
      <c r="AB25" t="s">
        <v>16</v>
      </c>
      <c r="AC25" t="s">
        <v>546</v>
      </c>
      <c r="AD25" t="s">
        <v>547</v>
      </c>
      <c r="AE25" t="s">
        <v>548</v>
      </c>
      <c r="AF25" t="s">
        <v>16</v>
      </c>
      <c r="AG25">
        <v>75</v>
      </c>
      <c r="AH25">
        <v>0</v>
      </c>
      <c r="AI25">
        <v>0</v>
      </c>
      <c r="AJ25">
        <v>2</v>
      </c>
      <c r="AK25">
        <v>2</v>
      </c>
      <c r="AL25" t="s">
        <v>206</v>
      </c>
      <c r="AM25" t="s">
        <v>207</v>
      </c>
      <c r="AN25" t="s">
        <v>208</v>
      </c>
      <c r="AO25" t="s">
        <v>209</v>
      </c>
      <c r="AP25" t="s">
        <v>16</v>
      </c>
      <c r="AQ25" t="s">
        <v>16</v>
      </c>
      <c r="AR25" t="s">
        <v>210</v>
      </c>
      <c r="AS25" t="s">
        <v>211</v>
      </c>
      <c r="AT25" t="s">
        <v>549</v>
      </c>
      <c r="AU25">
        <v>2025</v>
      </c>
      <c r="AV25">
        <v>16</v>
      </c>
      <c r="AW25" t="s">
        <v>16</v>
      </c>
      <c r="AX25" t="s">
        <v>16</v>
      </c>
      <c r="AY25" t="s">
        <v>16</v>
      </c>
      <c r="AZ25" t="s">
        <v>16</v>
      </c>
      <c r="BA25" t="s">
        <v>16</v>
      </c>
      <c r="BB25" t="s">
        <v>16</v>
      </c>
      <c r="BC25" t="s">
        <v>16</v>
      </c>
      <c r="BD25">
        <v>1495662</v>
      </c>
      <c r="BE25" t="s">
        <v>550</v>
      </c>
      <c r="BF25" t="str">
        <f>HYPERLINK("http://dx.doi.org/10.3389/fpls.2025.1495662","http://dx.doi.org/10.3389/fpls.2025.1495662")</f>
        <v>http://dx.doi.org/10.3389/fpls.2025.1495662</v>
      </c>
      <c r="BG25" t="s">
        <v>16</v>
      </c>
      <c r="BH25" t="s">
        <v>16</v>
      </c>
      <c r="BI25">
        <v>19</v>
      </c>
      <c r="BJ25" t="s">
        <v>214</v>
      </c>
      <c r="BK25" t="s">
        <v>73</v>
      </c>
      <c r="BL25" t="s">
        <v>214</v>
      </c>
      <c r="BM25" t="s">
        <v>551</v>
      </c>
      <c r="BN25">
        <v>39996117</v>
      </c>
      <c r="BO25" t="s">
        <v>552</v>
      </c>
      <c r="BP25" t="s">
        <v>16</v>
      </c>
      <c r="BQ25" t="s">
        <v>16</v>
      </c>
      <c r="BR25" t="s">
        <v>44</v>
      </c>
      <c r="BS25" t="s">
        <v>553</v>
      </c>
      <c r="BT25" t="str">
        <f>HYPERLINK("https%3A%2F%2Fwww.webofscience.com%2Fwos%2Fwoscc%2Ffull-record%2FWOS:001428384400001","View Full Record in Web of Science")</f>
        <v>View Full Record in Web of Science</v>
      </c>
    </row>
    <row r="26" spans="1:72" x14ac:dyDescent="0.2">
      <c r="A26" t="s">
        <v>46</v>
      </c>
      <c r="B26" t="s">
        <v>554</v>
      </c>
      <c r="C26" t="s">
        <v>16</v>
      </c>
      <c r="D26" t="s">
        <v>16</v>
      </c>
      <c r="E26" t="s">
        <v>16</v>
      </c>
      <c r="F26" t="s">
        <v>555</v>
      </c>
      <c r="G26" t="s">
        <v>16</v>
      </c>
      <c r="H26" t="s">
        <v>16</v>
      </c>
      <c r="I26" t="s">
        <v>556</v>
      </c>
      <c r="J26" t="s">
        <v>557</v>
      </c>
      <c r="K26" t="s">
        <v>16</v>
      </c>
      <c r="L26" t="s">
        <v>16</v>
      </c>
      <c r="M26" t="s">
        <v>22</v>
      </c>
      <c r="N26" t="s">
        <v>51</v>
      </c>
      <c r="O26" t="s">
        <v>16</v>
      </c>
      <c r="P26" t="s">
        <v>16</v>
      </c>
      <c r="Q26" t="s">
        <v>16</v>
      </c>
      <c r="R26" t="s">
        <v>16</v>
      </c>
      <c r="S26" t="s">
        <v>16</v>
      </c>
      <c r="T26" t="s">
        <v>558</v>
      </c>
      <c r="U26" t="s">
        <v>559</v>
      </c>
      <c r="V26" t="s">
        <v>560</v>
      </c>
      <c r="W26" t="s">
        <v>561</v>
      </c>
      <c r="X26" t="s">
        <v>562</v>
      </c>
      <c r="Y26" t="s">
        <v>563</v>
      </c>
      <c r="Z26" t="s">
        <v>564</v>
      </c>
      <c r="AA26" t="s">
        <v>565</v>
      </c>
      <c r="AB26" t="s">
        <v>566</v>
      </c>
      <c r="AC26" t="s">
        <v>567</v>
      </c>
      <c r="AD26" t="s">
        <v>567</v>
      </c>
      <c r="AE26" t="s">
        <v>568</v>
      </c>
      <c r="AF26" t="s">
        <v>16</v>
      </c>
      <c r="AG26">
        <v>52</v>
      </c>
      <c r="AH26">
        <v>18</v>
      </c>
      <c r="AI26">
        <v>18</v>
      </c>
      <c r="AJ26">
        <v>1</v>
      </c>
      <c r="AK26">
        <v>51</v>
      </c>
      <c r="AL26" t="s">
        <v>569</v>
      </c>
      <c r="AM26" t="s">
        <v>570</v>
      </c>
      <c r="AN26" t="s">
        <v>571</v>
      </c>
      <c r="AO26" t="s">
        <v>572</v>
      </c>
      <c r="AP26" t="s">
        <v>573</v>
      </c>
      <c r="AQ26" t="s">
        <v>16</v>
      </c>
      <c r="AR26" t="s">
        <v>574</v>
      </c>
      <c r="AS26" t="s">
        <v>575</v>
      </c>
      <c r="AT26" t="s">
        <v>576</v>
      </c>
      <c r="AU26">
        <v>2016</v>
      </c>
      <c r="AV26">
        <v>80</v>
      </c>
      <c r="AW26" t="s">
        <v>16</v>
      </c>
      <c r="AX26" t="s">
        <v>16</v>
      </c>
      <c r="AY26" t="s">
        <v>16</v>
      </c>
      <c r="AZ26" t="s">
        <v>16</v>
      </c>
      <c r="BA26" t="s">
        <v>16</v>
      </c>
      <c r="BB26">
        <v>45</v>
      </c>
      <c r="BC26">
        <v>54</v>
      </c>
      <c r="BD26" t="s">
        <v>16</v>
      </c>
      <c r="BE26" t="s">
        <v>577</v>
      </c>
      <c r="BF26" t="str">
        <f>HYPERLINK("http://dx.doi.org/10.1016/j.eja.2016.06.013","http://dx.doi.org/10.1016/j.eja.2016.06.013")</f>
        <v>http://dx.doi.org/10.1016/j.eja.2016.06.013</v>
      </c>
      <c r="BG26" t="s">
        <v>16</v>
      </c>
      <c r="BH26" t="s">
        <v>16</v>
      </c>
      <c r="BI26">
        <v>10</v>
      </c>
      <c r="BJ26" t="s">
        <v>40</v>
      </c>
      <c r="BK26" t="s">
        <v>73</v>
      </c>
      <c r="BL26" t="s">
        <v>42</v>
      </c>
      <c r="BM26" t="s">
        <v>578</v>
      </c>
      <c r="BN26" t="s">
        <v>16</v>
      </c>
      <c r="BO26" t="s">
        <v>16</v>
      </c>
      <c r="BP26" t="s">
        <v>16</v>
      </c>
      <c r="BQ26" t="s">
        <v>16</v>
      </c>
      <c r="BR26" t="s">
        <v>44</v>
      </c>
      <c r="BS26" t="s">
        <v>579</v>
      </c>
      <c r="BT26" t="str">
        <f>HYPERLINK("https%3A%2F%2Fwww.webofscience.com%2Fwos%2Fwoscc%2Ffull-record%2FWOS:000383942400005","View Full Record in Web of Science")</f>
        <v>View Full Record in Web of Science</v>
      </c>
    </row>
    <row r="27" spans="1:72" x14ac:dyDescent="0.2">
      <c r="A27" t="s">
        <v>46</v>
      </c>
      <c r="B27" t="s">
        <v>580</v>
      </c>
      <c r="C27" t="s">
        <v>16</v>
      </c>
      <c r="D27" t="s">
        <v>16</v>
      </c>
      <c r="E27" t="s">
        <v>16</v>
      </c>
      <c r="F27" t="s">
        <v>581</v>
      </c>
      <c r="G27" t="s">
        <v>16</v>
      </c>
      <c r="H27" t="s">
        <v>16</v>
      </c>
      <c r="I27" t="s">
        <v>582</v>
      </c>
      <c r="J27" t="s">
        <v>583</v>
      </c>
      <c r="K27" t="s">
        <v>16</v>
      </c>
      <c r="L27" t="s">
        <v>16</v>
      </c>
      <c r="M27" t="s">
        <v>22</v>
      </c>
      <c r="N27" t="s">
        <v>51</v>
      </c>
      <c r="O27" t="s">
        <v>16</v>
      </c>
      <c r="P27" t="s">
        <v>16</v>
      </c>
      <c r="Q27" t="s">
        <v>16</v>
      </c>
      <c r="R27" t="s">
        <v>16</v>
      </c>
      <c r="S27" t="s">
        <v>16</v>
      </c>
      <c r="T27" t="s">
        <v>584</v>
      </c>
      <c r="U27" t="s">
        <v>16</v>
      </c>
      <c r="V27" t="s">
        <v>585</v>
      </c>
      <c r="W27" t="s">
        <v>586</v>
      </c>
      <c r="X27" t="s">
        <v>587</v>
      </c>
      <c r="Y27" t="s">
        <v>588</v>
      </c>
      <c r="Z27" t="s">
        <v>589</v>
      </c>
      <c r="AA27" t="s">
        <v>590</v>
      </c>
      <c r="AB27" t="s">
        <v>591</v>
      </c>
      <c r="AC27" t="s">
        <v>592</v>
      </c>
      <c r="AD27" t="s">
        <v>593</v>
      </c>
      <c r="AE27" t="s">
        <v>594</v>
      </c>
      <c r="AF27" t="s">
        <v>16</v>
      </c>
      <c r="AG27">
        <v>21</v>
      </c>
      <c r="AH27">
        <v>0</v>
      </c>
      <c r="AI27">
        <v>0</v>
      </c>
      <c r="AJ27">
        <v>0</v>
      </c>
      <c r="AK27">
        <v>0</v>
      </c>
      <c r="AL27" t="s">
        <v>595</v>
      </c>
      <c r="AM27" t="s">
        <v>596</v>
      </c>
      <c r="AN27" t="s">
        <v>597</v>
      </c>
      <c r="AO27" t="s">
        <v>598</v>
      </c>
      <c r="AP27" t="s">
        <v>599</v>
      </c>
      <c r="AQ27" t="s">
        <v>16</v>
      </c>
      <c r="AR27" t="s">
        <v>600</v>
      </c>
      <c r="AS27" t="s">
        <v>601</v>
      </c>
      <c r="AT27" t="s">
        <v>16</v>
      </c>
      <c r="AU27">
        <v>2006</v>
      </c>
      <c r="AV27">
        <v>15</v>
      </c>
      <c r="AW27">
        <v>1</v>
      </c>
      <c r="AX27" t="s">
        <v>16</v>
      </c>
      <c r="AY27" t="s">
        <v>16</v>
      </c>
      <c r="AZ27" t="s">
        <v>16</v>
      </c>
      <c r="BA27" t="s">
        <v>16</v>
      </c>
      <c r="BB27">
        <v>133</v>
      </c>
      <c r="BC27">
        <v>146</v>
      </c>
      <c r="BD27" t="s">
        <v>16</v>
      </c>
      <c r="BE27" t="s">
        <v>602</v>
      </c>
      <c r="BF27" t="str">
        <f>HYPERLINK("http://dx.doi.org/10.1300/J411v15n01_10","http://dx.doi.org/10.1300/J411v15n01_10")</f>
        <v>http://dx.doi.org/10.1300/J411v15n01_10</v>
      </c>
      <c r="BG27" t="s">
        <v>16</v>
      </c>
      <c r="BH27" t="s">
        <v>16</v>
      </c>
      <c r="BI27">
        <v>14</v>
      </c>
      <c r="BJ27" t="s">
        <v>92</v>
      </c>
      <c r="BK27" t="s">
        <v>603</v>
      </c>
      <c r="BL27" t="s">
        <v>94</v>
      </c>
      <c r="BM27" t="s">
        <v>604</v>
      </c>
      <c r="BN27" t="s">
        <v>16</v>
      </c>
      <c r="BO27" t="s">
        <v>16</v>
      </c>
      <c r="BP27" t="s">
        <v>16</v>
      </c>
      <c r="BQ27" t="s">
        <v>16</v>
      </c>
      <c r="BR27" t="s">
        <v>44</v>
      </c>
      <c r="BS27" t="s">
        <v>605</v>
      </c>
      <c r="BT27" t="str">
        <f>HYPERLINK("https%3A%2F%2Fwww.webofscience.com%2Fwos%2Fwoscc%2Ffull-record%2FWOS:000452664100010","View Full Record in Web of Science")</f>
        <v>View Full Record in Web of Science</v>
      </c>
    </row>
    <row r="28" spans="1:72" x14ac:dyDescent="0.2">
      <c r="A28" t="s">
        <v>46</v>
      </c>
      <c r="B28" t="s">
        <v>606</v>
      </c>
      <c r="C28" t="s">
        <v>16</v>
      </c>
      <c r="D28" t="s">
        <v>16</v>
      </c>
      <c r="E28" t="s">
        <v>16</v>
      </c>
      <c r="F28" t="s">
        <v>607</v>
      </c>
      <c r="G28" t="s">
        <v>16</v>
      </c>
      <c r="H28" t="s">
        <v>16</v>
      </c>
      <c r="I28" t="s">
        <v>608</v>
      </c>
      <c r="J28" t="s">
        <v>609</v>
      </c>
      <c r="K28" t="s">
        <v>16</v>
      </c>
      <c r="L28" t="s">
        <v>16</v>
      </c>
      <c r="M28" t="s">
        <v>22</v>
      </c>
      <c r="N28" t="s">
        <v>51</v>
      </c>
      <c r="O28" t="s">
        <v>16</v>
      </c>
      <c r="P28" t="s">
        <v>16</v>
      </c>
      <c r="Q28" t="s">
        <v>16</v>
      </c>
      <c r="R28" t="s">
        <v>16</v>
      </c>
      <c r="S28" t="s">
        <v>16</v>
      </c>
      <c r="T28" t="s">
        <v>610</v>
      </c>
      <c r="U28" t="s">
        <v>16</v>
      </c>
      <c r="V28" t="s">
        <v>611</v>
      </c>
      <c r="W28" t="s">
        <v>612</v>
      </c>
      <c r="X28" t="s">
        <v>613</v>
      </c>
      <c r="Y28" t="s">
        <v>614</v>
      </c>
      <c r="Z28" t="s">
        <v>615</v>
      </c>
      <c r="AA28" t="s">
        <v>523</v>
      </c>
      <c r="AB28" t="s">
        <v>524</v>
      </c>
      <c r="AC28" t="s">
        <v>16</v>
      </c>
      <c r="AD28" t="s">
        <v>16</v>
      </c>
      <c r="AE28" t="s">
        <v>16</v>
      </c>
      <c r="AF28" t="s">
        <v>16</v>
      </c>
      <c r="AG28">
        <v>13</v>
      </c>
      <c r="AH28">
        <v>7</v>
      </c>
      <c r="AI28">
        <v>7</v>
      </c>
      <c r="AJ28">
        <v>0</v>
      </c>
      <c r="AK28">
        <v>1</v>
      </c>
      <c r="AL28" t="s">
        <v>616</v>
      </c>
      <c r="AM28" t="s">
        <v>617</v>
      </c>
      <c r="AN28" t="s">
        <v>618</v>
      </c>
      <c r="AO28" t="s">
        <v>619</v>
      </c>
      <c r="AP28" t="s">
        <v>620</v>
      </c>
      <c r="AQ28" t="s">
        <v>16</v>
      </c>
      <c r="AR28" t="s">
        <v>621</v>
      </c>
      <c r="AS28" t="s">
        <v>622</v>
      </c>
      <c r="AT28" t="s">
        <v>623</v>
      </c>
      <c r="AU28">
        <v>2006</v>
      </c>
      <c r="AV28">
        <v>41</v>
      </c>
      <c r="AW28">
        <v>3</v>
      </c>
      <c r="AX28" t="s">
        <v>16</v>
      </c>
      <c r="AY28" t="s">
        <v>16</v>
      </c>
      <c r="AZ28" t="s">
        <v>16</v>
      </c>
      <c r="BA28" t="s">
        <v>16</v>
      </c>
      <c r="BB28">
        <v>369</v>
      </c>
      <c r="BC28">
        <v>375</v>
      </c>
      <c r="BD28" t="s">
        <v>16</v>
      </c>
      <c r="BE28" t="s">
        <v>624</v>
      </c>
      <c r="BF28" t="str">
        <f>HYPERLINK("http://dx.doi.org/10.1590/S0100-204X2006000300001","http://dx.doi.org/10.1590/S0100-204X2006000300001")</f>
        <v>http://dx.doi.org/10.1590/S0100-204X2006000300001</v>
      </c>
      <c r="BG28" t="s">
        <v>16</v>
      </c>
      <c r="BH28" t="s">
        <v>16</v>
      </c>
      <c r="BI28">
        <v>7</v>
      </c>
      <c r="BJ28" t="s">
        <v>296</v>
      </c>
      <c r="BK28" t="s">
        <v>73</v>
      </c>
      <c r="BL28" t="s">
        <v>42</v>
      </c>
      <c r="BM28" t="s">
        <v>626</v>
      </c>
      <c r="BN28" t="s">
        <v>16</v>
      </c>
      <c r="BO28" t="s">
        <v>216</v>
      </c>
      <c r="BP28" t="s">
        <v>16</v>
      </c>
      <c r="BQ28" t="s">
        <v>16</v>
      </c>
      <c r="BR28" t="s">
        <v>44</v>
      </c>
      <c r="BS28" t="s">
        <v>627</v>
      </c>
      <c r="BT28" t="str">
        <f>HYPERLINK("https%3A%2F%2Fwww.webofscience.com%2Fwos%2Fwoscc%2Ffull-record%2FWOS:000237741800001","View Full Record in Web of Science")</f>
        <v>View Full Record in Web of Science</v>
      </c>
    </row>
    <row r="29" spans="1:72" x14ac:dyDescent="0.2">
      <c r="A29" t="s">
        <v>46</v>
      </c>
      <c r="B29" t="s">
        <v>628</v>
      </c>
      <c r="C29" t="s">
        <v>16</v>
      </c>
      <c r="D29" t="s">
        <v>16</v>
      </c>
      <c r="E29" t="s">
        <v>16</v>
      </c>
      <c r="F29" t="s">
        <v>628</v>
      </c>
      <c r="G29" t="s">
        <v>16</v>
      </c>
      <c r="H29" t="s">
        <v>16</v>
      </c>
      <c r="I29" t="s">
        <v>629</v>
      </c>
      <c r="J29" t="s">
        <v>630</v>
      </c>
      <c r="K29" t="s">
        <v>16</v>
      </c>
      <c r="L29" t="s">
        <v>16</v>
      </c>
      <c r="M29" t="s">
        <v>22</v>
      </c>
      <c r="N29" t="s">
        <v>51</v>
      </c>
      <c r="O29" t="s">
        <v>16</v>
      </c>
      <c r="P29" t="s">
        <v>16</v>
      </c>
      <c r="Q29" t="s">
        <v>16</v>
      </c>
      <c r="R29" t="s">
        <v>16</v>
      </c>
      <c r="S29" t="s">
        <v>16</v>
      </c>
      <c r="T29" t="s">
        <v>631</v>
      </c>
      <c r="U29" t="s">
        <v>632</v>
      </c>
      <c r="V29" t="s">
        <v>633</v>
      </c>
      <c r="W29" t="s">
        <v>634</v>
      </c>
      <c r="X29" t="s">
        <v>635</v>
      </c>
      <c r="Y29" t="s">
        <v>636</v>
      </c>
      <c r="Z29" t="s">
        <v>16</v>
      </c>
      <c r="AA29" t="s">
        <v>637</v>
      </c>
      <c r="AB29" t="s">
        <v>16</v>
      </c>
      <c r="AC29" t="s">
        <v>16</v>
      </c>
      <c r="AD29" t="s">
        <v>16</v>
      </c>
      <c r="AE29" t="s">
        <v>16</v>
      </c>
      <c r="AF29" t="s">
        <v>16</v>
      </c>
      <c r="AG29">
        <v>22</v>
      </c>
      <c r="AH29">
        <v>7</v>
      </c>
      <c r="AI29">
        <v>9</v>
      </c>
      <c r="AJ29">
        <v>1</v>
      </c>
      <c r="AK29">
        <v>6</v>
      </c>
      <c r="AL29" t="s">
        <v>638</v>
      </c>
      <c r="AM29" t="s">
        <v>639</v>
      </c>
      <c r="AN29" t="s">
        <v>640</v>
      </c>
      <c r="AO29" t="s">
        <v>641</v>
      </c>
      <c r="AP29" t="s">
        <v>642</v>
      </c>
      <c r="AQ29" t="s">
        <v>16</v>
      </c>
      <c r="AR29" t="s">
        <v>643</v>
      </c>
      <c r="AS29" t="s">
        <v>644</v>
      </c>
      <c r="AT29" t="s">
        <v>16</v>
      </c>
      <c r="AU29">
        <v>1993</v>
      </c>
      <c r="AV29">
        <v>44</v>
      </c>
      <c r="AW29">
        <v>4</v>
      </c>
      <c r="AX29" t="s">
        <v>16</v>
      </c>
      <c r="AY29" t="s">
        <v>16</v>
      </c>
      <c r="AZ29" t="s">
        <v>16</v>
      </c>
      <c r="BA29" t="s">
        <v>16</v>
      </c>
      <c r="BB29">
        <v>731</v>
      </c>
      <c r="BC29">
        <v>744</v>
      </c>
      <c r="BD29" t="s">
        <v>16</v>
      </c>
      <c r="BE29" t="s">
        <v>645</v>
      </c>
      <c r="BF29" t="str">
        <f>HYPERLINK("http://dx.doi.org/10.1071/AR9930731","http://dx.doi.org/10.1071/AR9930731")</f>
        <v>http://dx.doi.org/10.1071/AR9930731</v>
      </c>
      <c r="BG29" t="s">
        <v>16</v>
      </c>
      <c r="BH29" t="s">
        <v>16</v>
      </c>
      <c r="BI29">
        <v>14</v>
      </c>
      <c r="BJ29" t="s">
        <v>296</v>
      </c>
      <c r="BK29" t="s">
        <v>73</v>
      </c>
      <c r="BL29" t="s">
        <v>42</v>
      </c>
      <c r="BM29" t="s">
        <v>646</v>
      </c>
      <c r="BN29" t="s">
        <v>16</v>
      </c>
      <c r="BO29" t="s">
        <v>16</v>
      </c>
      <c r="BP29" t="s">
        <v>16</v>
      </c>
      <c r="BQ29" t="s">
        <v>16</v>
      </c>
      <c r="BR29" t="s">
        <v>44</v>
      </c>
      <c r="BS29" t="s">
        <v>647</v>
      </c>
      <c r="BT29" t="str">
        <f>HYPERLINK("https%3A%2F%2Fwww.webofscience.com%2Fwos%2Fwoscc%2Ffull-record%2FWOS:A1993KX26400010","View Full Record in Web of Science")</f>
        <v>View Full Record in Web of Science</v>
      </c>
    </row>
    <row r="30" spans="1:72" x14ac:dyDescent="0.2">
      <c r="A30" t="s">
        <v>46</v>
      </c>
      <c r="B30" t="s">
        <v>648</v>
      </c>
      <c r="C30" t="s">
        <v>16</v>
      </c>
      <c r="D30" t="s">
        <v>16</v>
      </c>
      <c r="E30" t="s">
        <v>16</v>
      </c>
      <c r="F30" t="s">
        <v>649</v>
      </c>
      <c r="G30" t="s">
        <v>16</v>
      </c>
      <c r="H30" t="s">
        <v>16</v>
      </c>
      <c r="I30" t="s">
        <v>650</v>
      </c>
      <c r="J30" t="s">
        <v>651</v>
      </c>
      <c r="K30" t="s">
        <v>16</v>
      </c>
      <c r="L30" t="s">
        <v>16</v>
      </c>
      <c r="M30" t="s">
        <v>22</v>
      </c>
      <c r="N30" t="s">
        <v>118</v>
      </c>
      <c r="O30" t="s">
        <v>16</v>
      </c>
      <c r="P30" t="s">
        <v>16</v>
      </c>
      <c r="Q30" t="s">
        <v>16</v>
      </c>
      <c r="R30" t="s">
        <v>16</v>
      </c>
      <c r="S30" t="s">
        <v>16</v>
      </c>
      <c r="T30" t="s">
        <v>652</v>
      </c>
      <c r="U30" t="s">
        <v>653</v>
      </c>
      <c r="V30" t="s">
        <v>654</v>
      </c>
      <c r="W30" t="s">
        <v>655</v>
      </c>
      <c r="X30" t="s">
        <v>656</v>
      </c>
      <c r="Y30" t="s">
        <v>657</v>
      </c>
      <c r="Z30" t="s">
        <v>658</v>
      </c>
      <c r="AA30" t="s">
        <v>659</v>
      </c>
      <c r="AB30" t="s">
        <v>660</v>
      </c>
      <c r="AC30" t="s">
        <v>16</v>
      </c>
      <c r="AD30" t="s">
        <v>16</v>
      </c>
      <c r="AE30" t="s">
        <v>16</v>
      </c>
      <c r="AF30" t="s">
        <v>16</v>
      </c>
      <c r="AG30">
        <v>111</v>
      </c>
      <c r="AH30">
        <v>252</v>
      </c>
      <c r="AI30">
        <v>288</v>
      </c>
      <c r="AJ30">
        <v>9</v>
      </c>
      <c r="AK30">
        <v>159</v>
      </c>
      <c r="AL30" t="s">
        <v>638</v>
      </c>
      <c r="AM30" t="s">
        <v>639</v>
      </c>
      <c r="AN30" t="s">
        <v>640</v>
      </c>
      <c r="AO30" t="s">
        <v>661</v>
      </c>
      <c r="AP30" t="s">
        <v>642</v>
      </c>
      <c r="AQ30" t="s">
        <v>16</v>
      </c>
      <c r="AR30" t="s">
        <v>662</v>
      </c>
      <c r="AS30" t="s">
        <v>663</v>
      </c>
      <c r="AT30" t="s">
        <v>16</v>
      </c>
      <c r="AU30">
        <v>2014</v>
      </c>
      <c r="AV30">
        <v>65</v>
      </c>
      <c r="AW30">
        <v>4</v>
      </c>
      <c r="AX30" t="s">
        <v>16</v>
      </c>
      <c r="AY30" t="s">
        <v>16</v>
      </c>
      <c r="AZ30" t="s">
        <v>16</v>
      </c>
      <c r="BA30" t="s">
        <v>16</v>
      </c>
      <c r="BB30">
        <v>311</v>
      </c>
      <c r="BC30">
        <v>336</v>
      </c>
      <c r="BD30" t="s">
        <v>16</v>
      </c>
      <c r="BE30" t="s">
        <v>664</v>
      </c>
      <c r="BF30" t="str">
        <f>HYPERLINK("http://dx.doi.org/10.1071/CP14007","http://dx.doi.org/10.1071/CP14007")</f>
        <v>http://dx.doi.org/10.1071/CP14007</v>
      </c>
      <c r="BG30" t="s">
        <v>16</v>
      </c>
      <c r="BH30" t="s">
        <v>16</v>
      </c>
      <c r="BI30">
        <v>26</v>
      </c>
      <c r="BJ30" t="s">
        <v>296</v>
      </c>
      <c r="BK30" t="s">
        <v>73</v>
      </c>
      <c r="BL30" t="s">
        <v>42</v>
      </c>
      <c r="BM30" t="s">
        <v>665</v>
      </c>
      <c r="BN30" t="s">
        <v>16</v>
      </c>
      <c r="BO30" t="s">
        <v>666</v>
      </c>
      <c r="BP30" t="s">
        <v>16</v>
      </c>
      <c r="BQ30" t="s">
        <v>16</v>
      </c>
      <c r="BR30" t="s">
        <v>44</v>
      </c>
      <c r="BS30" t="s">
        <v>667</v>
      </c>
      <c r="BT30" t="str">
        <f>HYPERLINK("https%3A%2F%2Fwww.webofscience.com%2Fwos%2Fwoscc%2Ffull-record%2FWOS:000337726700001","View Full Record in Web of Science")</f>
        <v>View Full Record in Web of Science</v>
      </c>
    </row>
    <row r="31" spans="1:72" x14ac:dyDescent="0.2">
      <c r="A31" t="s">
        <v>46</v>
      </c>
      <c r="B31" t="s">
        <v>668</v>
      </c>
      <c r="C31" t="s">
        <v>16</v>
      </c>
      <c r="D31" t="s">
        <v>16</v>
      </c>
      <c r="E31" t="s">
        <v>16</v>
      </c>
      <c r="F31" t="s">
        <v>669</v>
      </c>
      <c r="G31" t="s">
        <v>16</v>
      </c>
      <c r="H31" t="s">
        <v>16</v>
      </c>
      <c r="I31" t="s">
        <v>670</v>
      </c>
      <c r="J31" t="s">
        <v>197</v>
      </c>
      <c r="K31" t="s">
        <v>16</v>
      </c>
      <c r="L31" t="s">
        <v>16</v>
      </c>
      <c r="M31" t="s">
        <v>22</v>
      </c>
      <c r="N31" t="s">
        <v>51</v>
      </c>
      <c r="O31" t="s">
        <v>16</v>
      </c>
      <c r="P31" t="s">
        <v>16</v>
      </c>
      <c r="Q31" t="s">
        <v>16</v>
      </c>
      <c r="R31" t="s">
        <v>16</v>
      </c>
      <c r="S31" t="s">
        <v>16</v>
      </c>
      <c r="T31" t="s">
        <v>671</v>
      </c>
      <c r="U31" t="s">
        <v>672</v>
      </c>
      <c r="V31" t="s">
        <v>673</v>
      </c>
      <c r="W31" t="s">
        <v>674</v>
      </c>
      <c r="X31" t="s">
        <v>675</v>
      </c>
      <c r="Y31" t="s">
        <v>676</v>
      </c>
      <c r="Z31" t="s">
        <v>677</v>
      </c>
      <c r="AA31" t="s">
        <v>414</v>
      </c>
      <c r="AB31" t="s">
        <v>678</v>
      </c>
      <c r="AC31" t="s">
        <v>679</v>
      </c>
      <c r="AD31" t="s">
        <v>679</v>
      </c>
      <c r="AE31" t="s">
        <v>680</v>
      </c>
      <c r="AF31" t="s">
        <v>16</v>
      </c>
      <c r="AG31">
        <v>36</v>
      </c>
      <c r="AH31">
        <v>3</v>
      </c>
      <c r="AI31">
        <v>3</v>
      </c>
      <c r="AJ31">
        <v>1</v>
      </c>
      <c r="AK31">
        <v>2</v>
      </c>
      <c r="AL31" t="s">
        <v>206</v>
      </c>
      <c r="AM31" t="s">
        <v>207</v>
      </c>
      <c r="AN31" t="s">
        <v>208</v>
      </c>
      <c r="AO31" t="s">
        <v>209</v>
      </c>
      <c r="AP31" t="s">
        <v>16</v>
      </c>
      <c r="AQ31" t="s">
        <v>16</v>
      </c>
      <c r="AR31" t="s">
        <v>210</v>
      </c>
      <c r="AS31" t="s">
        <v>211</v>
      </c>
      <c r="AT31" t="s">
        <v>681</v>
      </c>
      <c r="AU31">
        <v>2024</v>
      </c>
      <c r="AV31">
        <v>15</v>
      </c>
      <c r="AW31" t="s">
        <v>16</v>
      </c>
      <c r="AX31" t="s">
        <v>16</v>
      </c>
      <c r="AY31" t="s">
        <v>16</v>
      </c>
      <c r="AZ31" t="s">
        <v>16</v>
      </c>
      <c r="BA31" t="s">
        <v>16</v>
      </c>
      <c r="BB31" t="s">
        <v>16</v>
      </c>
      <c r="BC31" t="s">
        <v>16</v>
      </c>
      <c r="BD31">
        <v>1330574</v>
      </c>
      <c r="BE31" t="s">
        <v>682</v>
      </c>
      <c r="BF31" t="str">
        <f>HYPERLINK("http://dx.doi.org/10.3389/fpls.2024.1330574","http://dx.doi.org/10.3389/fpls.2024.1330574")</f>
        <v>http://dx.doi.org/10.3389/fpls.2024.1330574</v>
      </c>
      <c r="BG31" t="s">
        <v>16</v>
      </c>
      <c r="BH31" t="s">
        <v>16</v>
      </c>
      <c r="BI31">
        <v>13</v>
      </c>
      <c r="BJ31" t="s">
        <v>214</v>
      </c>
      <c r="BK31" t="s">
        <v>73</v>
      </c>
      <c r="BL31" t="s">
        <v>214</v>
      </c>
      <c r="BM31" t="s">
        <v>683</v>
      </c>
      <c r="BN31">
        <v>38638352</v>
      </c>
      <c r="BO31" t="s">
        <v>216</v>
      </c>
      <c r="BP31" t="s">
        <v>16</v>
      </c>
      <c r="BQ31" t="s">
        <v>16</v>
      </c>
      <c r="BR31" t="s">
        <v>44</v>
      </c>
      <c r="BS31" t="s">
        <v>684</v>
      </c>
      <c r="BT31" t="str">
        <f>HYPERLINK("https%3A%2F%2Fwww.webofscience.com%2Fwos%2Fwoscc%2Ffull-record%2FWOS:001204632400001","View Full Record in Web of Science")</f>
        <v>View Full Record in Web of Science</v>
      </c>
    </row>
    <row r="32" spans="1:72" x14ac:dyDescent="0.2">
      <c r="A32" t="s">
        <v>46</v>
      </c>
      <c r="B32" t="s">
        <v>685</v>
      </c>
      <c r="C32" t="s">
        <v>16</v>
      </c>
      <c r="D32" t="s">
        <v>16</v>
      </c>
      <c r="E32" t="s">
        <v>16</v>
      </c>
      <c r="F32" t="s">
        <v>686</v>
      </c>
      <c r="G32" t="s">
        <v>16</v>
      </c>
      <c r="H32" t="s">
        <v>16</v>
      </c>
      <c r="I32" t="s">
        <v>687</v>
      </c>
      <c r="J32" t="s">
        <v>220</v>
      </c>
      <c r="K32" t="s">
        <v>16</v>
      </c>
      <c r="L32" t="s">
        <v>16</v>
      </c>
      <c r="M32" t="s">
        <v>22</v>
      </c>
      <c r="N32" t="s">
        <v>51</v>
      </c>
      <c r="O32" t="s">
        <v>16</v>
      </c>
      <c r="P32" t="s">
        <v>16</v>
      </c>
      <c r="Q32" t="s">
        <v>16</v>
      </c>
      <c r="R32" t="s">
        <v>16</v>
      </c>
      <c r="S32" t="s">
        <v>16</v>
      </c>
      <c r="T32" t="s">
        <v>688</v>
      </c>
      <c r="U32" t="s">
        <v>689</v>
      </c>
      <c r="V32" t="s">
        <v>690</v>
      </c>
      <c r="W32" t="s">
        <v>691</v>
      </c>
      <c r="X32" t="s">
        <v>692</v>
      </c>
      <c r="Y32" t="s">
        <v>693</v>
      </c>
      <c r="Z32" t="s">
        <v>694</v>
      </c>
      <c r="AA32" t="s">
        <v>695</v>
      </c>
      <c r="AB32" t="s">
        <v>696</v>
      </c>
      <c r="AC32" t="s">
        <v>697</v>
      </c>
      <c r="AD32" t="s">
        <v>698</v>
      </c>
      <c r="AE32" t="s">
        <v>699</v>
      </c>
      <c r="AF32" t="s">
        <v>16</v>
      </c>
      <c r="AG32">
        <v>23</v>
      </c>
      <c r="AH32">
        <v>2</v>
      </c>
      <c r="AI32">
        <v>2</v>
      </c>
      <c r="AJ32">
        <v>0</v>
      </c>
      <c r="AK32">
        <v>6</v>
      </c>
      <c r="AL32" t="s">
        <v>128</v>
      </c>
      <c r="AM32" t="s">
        <v>225</v>
      </c>
      <c r="AN32" t="s">
        <v>357</v>
      </c>
      <c r="AO32" t="s">
        <v>227</v>
      </c>
      <c r="AP32" t="s">
        <v>700</v>
      </c>
      <c r="AQ32" t="s">
        <v>16</v>
      </c>
      <c r="AR32" t="s">
        <v>220</v>
      </c>
      <c r="AS32" t="s">
        <v>228</v>
      </c>
      <c r="AT32" t="s">
        <v>419</v>
      </c>
      <c r="AU32">
        <v>2022</v>
      </c>
      <c r="AV32">
        <v>218</v>
      </c>
      <c r="AW32">
        <v>8</v>
      </c>
      <c r="AX32" t="s">
        <v>16</v>
      </c>
      <c r="AY32" t="s">
        <v>16</v>
      </c>
      <c r="AZ32" t="s">
        <v>16</v>
      </c>
      <c r="BA32" t="s">
        <v>16</v>
      </c>
      <c r="BB32" t="s">
        <v>16</v>
      </c>
      <c r="BC32" t="s">
        <v>16</v>
      </c>
      <c r="BD32">
        <v>109</v>
      </c>
      <c r="BE32" t="s">
        <v>701</v>
      </c>
      <c r="BF32" t="str">
        <f>HYPERLINK("http://dx.doi.org/10.1007/s10681-022-03065-1","http://dx.doi.org/10.1007/s10681-022-03065-1")</f>
        <v>http://dx.doi.org/10.1007/s10681-022-03065-1</v>
      </c>
      <c r="BG32" t="s">
        <v>16</v>
      </c>
      <c r="BH32" t="s">
        <v>16</v>
      </c>
      <c r="BI32">
        <v>14</v>
      </c>
      <c r="BJ32" t="s">
        <v>296</v>
      </c>
      <c r="BK32" t="s">
        <v>73</v>
      </c>
      <c r="BL32" t="s">
        <v>94</v>
      </c>
      <c r="BM32" t="s">
        <v>702</v>
      </c>
      <c r="BN32" t="s">
        <v>16</v>
      </c>
      <c r="BO32" t="s">
        <v>16</v>
      </c>
      <c r="BP32" t="s">
        <v>16</v>
      </c>
      <c r="BQ32" t="s">
        <v>16</v>
      </c>
      <c r="BR32" t="s">
        <v>44</v>
      </c>
      <c r="BS32" t="s">
        <v>703</v>
      </c>
      <c r="BT32" t="str">
        <f>HYPERLINK("https%3A%2F%2Fwww.webofscience.com%2Fwos%2Fwoscc%2Ffull-record%2FWOS:000829045200003","View Full Record in Web of Science")</f>
        <v>View Full Record in Web of Science</v>
      </c>
    </row>
    <row r="33" spans="1:72" x14ac:dyDescent="0.2">
      <c r="A33" t="s">
        <v>46</v>
      </c>
      <c r="B33" t="s">
        <v>704</v>
      </c>
      <c r="C33" t="s">
        <v>16</v>
      </c>
      <c r="D33" t="s">
        <v>16</v>
      </c>
      <c r="E33" t="s">
        <v>16</v>
      </c>
      <c r="F33" t="s">
        <v>705</v>
      </c>
      <c r="G33" t="s">
        <v>16</v>
      </c>
      <c r="H33" t="s">
        <v>16</v>
      </c>
      <c r="I33" t="s">
        <v>706</v>
      </c>
      <c r="J33" t="s">
        <v>707</v>
      </c>
      <c r="K33" t="s">
        <v>16</v>
      </c>
      <c r="L33" t="s">
        <v>16</v>
      </c>
      <c r="M33" t="s">
        <v>22</v>
      </c>
      <c r="N33" t="s">
        <v>118</v>
      </c>
      <c r="O33" t="s">
        <v>16</v>
      </c>
      <c r="P33" t="s">
        <v>16</v>
      </c>
      <c r="Q33" t="s">
        <v>16</v>
      </c>
      <c r="R33" t="s">
        <v>16</v>
      </c>
      <c r="S33" t="s">
        <v>16</v>
      </c>
      <c r="T33" t="s">
        <v>708</v>
      </c>
      <c r="U33" t="s">
        <v>709</v>
      </c>
      <c r="V33" t="s">
        <v>710</v>
      </c>
      <c r="W33" t="s">
        <v>711</v>
      </c>
      <c r="X33" t="s">
        <v>712</v>
      </c>
      <c r="Y33" t="s">
        <v>713</v>
      </c>
      <c r="Z33" t="s">
        <v>714</v>
      </c>
      <c r="AA33" t="s">
        <v>715</v>
      </c>
      <c r="AB33" t="s">
        <v>716</v>
      </c>
      <c r="AC33" t="s">
        <v>717</v>
      </c>
      <c r="AD33" t="s">
        <v>718</v>
      </c>
      <c r="AE33" t="s">
        <v>719</v>
      </c>
      <c r="AF33" t="s">
        <v>16</v>
      </c>
      <c r="AG33">
        <v>116</v>
      </c>
      <c r="AH33">
        <v>255</v>
      </c>
      <c r="AI33">
        <v>280</v>
      </c>
      <c r="AJ33">
        <v>4</v>
      </c>
      <c r="AK33">
        <v>125</v>
      </c>
      <c r="AL33" t="s">
        <v>720</v>
      </c>
      <c r="AM33" t="s">
        <v>721</v>
      </c>
      <c r="AN33" t="s">
        <v>722</v>
      </c>
      <c r="AO33" t="s">
        <v>723</v>
      </c>
      <c r="AP33" t="s">
        <v>724</v>
      </c>
      <c r="AQ33" t="s">
        <v>16</v>
      </c>
      <c r="AR33" t="s">
        <v>725</v>
      </c>
      <c r="AS33" t="s">
        <v>726</v>
      </c>
      <c r="AT33" t="s">
        <v>464</v>
      </c>
      <c r="AU33">
        <v>2010</v>
      </c>
      <c r="AV33">
        <v>61</v>
      </c>
      <c r="AW33">
        <v>8</v>
      </c>
      <c r="AX33" t="s">
        <v>16</v>
      </c>
      <c r="AY33" t="s">
        <v>16</v>
      </c>
      <c r="AZ33" t="s">
        <v>16</v>
      </c>
      <c r="BA33" t="s">
        <v>16</v>
      </c>
      <c r="BB33">
        <v>2185</v>
      </c>
      <c r="BC33">
        <v>2202</v>
      </c>
      <c r="BD33" t="s">
        <v>16</v>
      </c>
      <c r="BE33" t="s">
        <v>727</v>
      </c>
      <c r="BF33" t="str">
        <f>HYPERLINK("http://dx.doi.org/10.1093/jxb/erq095","http://dx.doi.org/10.1093/jxb/erq095")</f>
        <v>http://dx.doi.org/10.1093/jxb/erq095</v>
      </c>
      <c r="BG33" t="s">
        <v>16</v>
      </c>
      <c r="BH33" t="s">
        <v>16</v>
      </c>
      <c r="BI33">
        <v>18</v>
      </c>
      <c r="BJ33" t="s">
        <v>214</v>
      </c>
      <c r="BK33" t="s">
        <v>73</v>
      </c>
      <c r="BL33" t="s">
        <v>214</v>
      </c>
      <c r="BM33" t="s">
        <v>728</v>
      </c>
      <c r="BN33">
        <v>20400531</v>
      </c>
      <c r="BO33" t="s">
        <v>729</v>
      </c>
      <c r="BP33" t="s">
        <v>16</v>
      </c>
      <c r="BQ33" t="s">
        <v>16</v>
      </c>
      <c r="BR33" t="s">
        <v>44</v>
      </c>
      <c r="BS33" t="s">
        <v>730</v>
      </c>
      <c r="BT33" t="str">
        <f>HYPERLINK("https%3A%2F%2Fwww.webofscience.com%2Fwos%2Fwoscc%2Ffull-record%2FWOS:000277987500012","View Full Record in Web of Science")</f>
        <v>View Full Record in Web of Science</v>
      </c>
    </row>
    <row r="34" spans="1:72" x14ac:dyDescent="0.2">
      <c r="A34" t="s">
        <v>46</v>
      </c>
      <c r="B34" t="s">
        <v>731</v>
      </c>
      <c r="C34" t="s">
        <v>16</v>
      </c>
      <c r="D34" t="s">
        <v>16</v>
      </c>
      <c r="E34" t="s">
        <v>16</v>
      </c>
      <c r="F34" t="s">
        <v>732</v>
      </c>
      <c r="G34" t="s">
        <v>16</v>
      </c>
      <c r="H34" t="s">
        <v>16</v>
      </c>
      <c r="I34" t="s">
        <v>733</v>
      </c>
      <c r="J34" t="s">
        <v>734</v>
      </c>
      <c r="K34" t="s">
        <v>16</v>
      </c>
      <c r="L34" t="s">
        <v>16</v>
      </c>
      <c r="M34" t="s">
        <v>22</v>
      </c>
      <c r="N34" t="s">
        <v>51</v>
      </c>
      <c r="O34" t="s">
        <v>16</v>
      </c>
      <c r="P34" t="s">
        <v>16</v>
      </c>
      <c r="Q34" t="s">
        <v>16</v>
      </c>
      <c r="R34" t="s">
        <v>16</v>
      </c>
      <c r="S34" t="s">
        <v>16</v>
      </c>
      <c r="T34" t="s">
        <v>735</v>
      </c>
      <c r="U34" t="s">
        <v>736</v>
      </c>
      <c r="V34" t="s">
        <v>737</v>
      </c>
      <c r="W34" t="s">
        <v>738</v>
      </c>
      <c r="X34" t="s">
        <v>103</v>
      </c>
      <c r="Y34" t="s">
        <v>739</v>
      </c>
      <c r="Z34" t="s">
        <v>740</v>
      </c>
      <c r="AA34" t="s">
        <v>16</v>
      </c>
      <c r="AB34" t="s">
        <v>741</v>
      </c>
      <c r="AC34" t="s">
        <v>742</v>
      </c>
      <c r="AD34" t="s">
        <v>743</v>
      </c>
      <c r="AE34" t="s">
        <v>744</v>
      </c>
      <c r="AF34" t="s">
        <v>16</v>
      </c>
      <c r="AG34">
        <v>33</v>
      </c>
      <c r="AH34">
        <v>18</v>
      </c>
      <c r="AI34">
        <v>18</v>
      </c>
      <c r="AJ34">
        <v>0</v>
      </c>
      <c r="AK34">
        <v>17</v>
      </c>
      <c r="AL34" t="s">
        <v>745</v>
      </c>
      <c r="AM34" t="s">
        <v>746</v>
      </c>
      <c r="AN34" t="s">
        <v>747</v>
      </c>
      <c r="AO34" t="s">
        <v>748</v>
      </c>
      <c r="AP34" t="s">
        <v>16</v>
      </c>
      <c r="AQ34" t="s">
        <v>16</v>
      </c>
      <c r="AR34" t="s">
        <v>749</v>
      </c>
      <c r="AS34" t="s">
        <v>750</v>
      </c>
      <c r="AT34" t="s">
        <v>751</v>
      </c>
      <c r="AU34">
        <v>2014</v>
      </c>
      <c r="AV34">
        <v>4</v>
      </c>
      <c r="AW34">
        <v>12</v>
      </c>
      <c r="AX34" t="s">
        <v>16</v>
      </c>
      <c r="AY34" t="s">
        <v>16</v>
      </c>
      <c r="AZ34" t="s">
        <v>16</v>
      </c>
      <c r="BA34" t="s">
        <v>16</v>
      </c>
      <c r="BB34">
        <v>2317</v>
      </c>
      <c r="BC34">
        <v>2328</v>
      </c>
      <c r="BD34" t="s">
        <v>16</v>
      </c>
      <c r="BE34" t="s">
        <v>752</v>
      </c>
      <c r="BF34" t="str">
        <f>HYPERLINK("http://dx.doi.org/10.1534/g3.114.011957/-/DC1","http://dx.doi.org/10.1534/g3.114.011957/-/DC1")</f>
        <v>http://dx.doi.org/10.1534/g3.114.011957/-/DC1</v>
      </c>
      <c r="BG34" t="s">
        <v>16</v>
      </c>
      <c r="BH34" t="s">
        <v>16</v>
      </c>
      <c r="BI34">
        <v>12</v>
      </c>
      <c r="BJ34" t="s">
        <v>339</v>
      </c>
      <c r="BK34" t="s">
        <v>73</v>
      </c>
      <c r="BL34" t="s">
        <v>339</v>
      </c>
      <c r="BM34" t="s">
        <v>753</v>
      </c>
      <c r="BN34">
        <v>25273862</v>
      </c>
      <c r="BO34" t="s">
        <v>16</v>
      </c>
      <c r="BP34" t="s">
        <v>16</v>
      </c>
      <c r="BQ34" t="s">
        <v>16</v>
      </c>
      <c r="BR34" t="s">
        <v>44</v>
      </c>
      <c r="BS34" t="s">
        <v>754</v>
      </c>
      <c r="BT34" t="str">
        <f>HYPERLINK("https%3A%2F%2Fwww.webofscience.com%2Fwos%2Fwoscc%2Ffull-record%2FWOS:000346341500003","View Full Record in Web of Science")</f>
        <v>View Full Record in Web of Science</v>
      </c>
    </row>
    <row r="35" spans="1:72" x14ac:dyDescent="0.2">
      <c r="A35" t="s">
        <v>46</v>
      </c>
      <c r="B35" t="s">
        <v>755</v>
      </c>
      <c r="C35" t="s">
        <v>16</v>
      </c>
      <c r="D35" t="s">
        <v>16</v>
      </c>
      <c r="E35" t="s">
        <v>16</v>
      </c>
      <c r="F35" t="s">
        <v>756</v>
      </c>
      <c r="G35" t="s">
        <v>16</v>
      </c>
      <c r="H35" t="s">
        <v>16</v>
      </c>
      <c r="I35" t="s">
        <v>757</v>
      </c>
      <c r="J35" t="s">
        <v>50</v>
      </c>
      <c r="K35" t="s">
        <v>16</v>
      </c>
      <c r="L35" t="s">
        <v>16</v>
      </c>
      <c r="M35" t="s">
        <v>22</v>
      </c>
      <c r="N35" t="s">
        <v>51</v>
      </c>
      <c r="O35" t="s">
        <v>16</v>
      </c>
      <c r="P35" t="s">
        <v>16</v>
      </c>
      <c r="Q35" t="s">
        <v>16</v>
      </c>
      <c r="R35" t="s">
        <v>16</v>
      </c>
      <c r="S35" t="s">
        <v>16</v>
      </c>
      <c r="T35" t="s">
        <v>16</v>
      </c>
      <c r="U35" t="s">
        <v>758</v>
      </c>
      <c r="V35" t="s">
        <v>759</v>
      </c>
      <c r="W35" t="s">
        <v>760</v>
      </c>
      <c r="X35" t="s">
        <v>761</v>
      </c>
      <c r="Y35" t="s">
        <v>762</v>
      </c>
      <c r="Z35" t="s">
        <v>763</v>
      </c>
      <c r="AA35" t="s">
        <v>764</v>
      </c>
      <c r="AB35" t="s">
        <v>765</v>
      </c>
      <c r="AC35" t="s">
        <v>766</v>
      </c>
      <c r="AD35" t="s">
        <v>767</v>
      </c>
      <c r="AE35" t="s">
        <v>768</v>
      </c>
      <c r="AF35" t="s">
        <v>16</v>
      </c>
      <c r="AG35">
        <v>35</v>
      </c>
      <c r="AH35">
        <v>131</v>
      </c>
      <c r="AI35">
        <v>154</v>
      </c>
      <c r="AJ35">
        <v>2</v>
      </c>
      <c r="AK35">
        <v>72</v>
      </c>
      <c r="AL35" t="s">
        <v>107</v>
      </c>
      <c r="AM35" t="s">
        <v>108</v>
      </c>
      <c r="AN35" t="s">
        <v>109</v>
      </c>
      <c r="AO35" t="s">
        <v>66</v>
      </c>
      <c r="AP35" t="s">
        <v>67</v>
      </c>
      <c r="AQ35" t="s">
        <v>16</v>
      </c>
      <c r="AR35" t="s">
        <v>68</v>
      </c>
      <c r="AS35" t="s">
        <v>69</v>
      </c>
      <c r="AT35" t="s">
        <v>769</v>
      </c>
      <c r="AU35">
        <v>2014</v>
      </c>
      <c r="AV35">
        <v>54</v>
      </c>
      <c r="AW35">
        <v>4</v>
      </c>
      <c r="AX35" t="s">
        <v>16</v>
      </c>
      <c r="AY35" t="s">
        <v>16</v>
      </c>
      <c r="AZ35" t="s">
        <v>16</v>
      </c>
      <c r="BA35" t="s">
        <v>16</v>
      </c>
      <c r="BB35">
        <v>1476</v>
      </c>
      <c r="BC35">
        <v>1488</v>
      </c>
      <c r="BD35" t="s">
        <v>16</v>
      </c>
      <c r="BE35" t="s">
        <v>770</v>
      </c>
      <c r="BF35" t="str">
        <f>HYPERLINK("http://dx.doi.org/10.2135/cropsci2013.03.0195","http://dx.doi.org/10.2135/cropsci2013.03.0195")</f>
        <v>http://dx.doi.org/10.2135/cropsci2013.03.0195</v>
      </c>
      <c r="BG35" t="s">
        <v>16</v>
      </c>
      <c r="BH35" t="s">
        <v>16</v>
      </c>
      <c r="BI35">
        <v>13</v>
      </c>
      <c r="BJ35" t="s">
        <v>40</v>
      </c>
      <c r="BK35" t="s">
        <v>73</v>
      </c>
      <c r="BL35" t="s">
        <v>42</v>
      </c>
      <c r="BM35" t="s">
        <v>771</v>
      </c>
      <c r="BN35" t="s">
        <v>16</v>
      </c>
      <c r="BO35" t="s">
        <v>772</v>
      </c>
      <c r="BP35" t="s">
        <v>16</v>
      </c>
      <c r="BQ35" t="s">
        <v>16</v>
      </c>
      <c r="BR35" t="s">
        <v>44</v>
      </c>
      <c r="BS35" t="s">
        <v>773</v>
      </c>
      <c r="BT35" t="str">
        <f>HYPERLINK("https%3A%2F%2Fwww.webofscience.com%2Fwos%2Fwoscc%2Ffull-record%2FWOS:000338773100018","View Full Record in Web of Science")</f>
        <v>View Full Record in Web of Science</v>
      </c>
    </row>
    <row r="36" spans="1:72" x14ac:dyDescent="0.2">
      <c r="A36" t="s">
        <v>141</v>
      </c>
      <c r="B36" t="s">
        <v>774</v>
      </c>
      <c r="C36" t="s">
        <v>16</v>
      </c>
      <c r="D36" t="s">
        <v>775</v>
      </c>
      <c r="E36" t="s">
        <v>16</v>
      </c>
      <c r="F36" t="s">
        <v>774</v>
      </c>
      <c r="G36" t="s">
        <v>16</v>
      </c>
      <c r="H36" t="s">
        <v>16</v>
      </c>
      <c r="I36" t="s">
        <v>776</v>
      </c>
      <c r="J36" t="s">
        <v>777</v>
      </c>
      <c r="K36" t="s">
        <v>778</v>
      </c>
      <c r="L36" t="s">
        <v>16</v>
      </c>
      <c r="M36" t="s">
        <v>22</v>
      </c>
      <c r="N36" t="s">
        <v>147</v>
      </c>
      <c r="O36" t="s">
        <v>779</v>
      </c>
      <c r="P36" t="s">
        <v>780</v>
      </c>
      <c r="Q36" t="s">
        <v>781</v>
      </c>
      <c r="R36" t="s">
        <v>782</v>
      </c>
      <c r="S36" t="s">
        <v>783</v>
      </c>
      <c r="T36" t="s">
        <v>784</v>
      </c>
      <c r="U36" t="s">
        <v>16</v>
      </c>
      <c r="V36" t="s">
        <v>785</v>
      </c>
      <c r="W36" t="s">
        <v>16</v>
      </c>
      <c r="X36" t="s">
        <v>16</v>
      </c>
      <c r="Y36" t="s">
        <v>786</v>
      </c>
      <c r="Z36" t="s">
        <v>16</v>
      </c>
      <c r="AA36" t="s">
        <v>787</v>
      </c>
      <c r="AB36" t="s">
        <v>16</v>
      </c>
      <c r="AC36" t="s">
        <v>16</v>
      </c>
      <c r="AD36" t="s">
        <v>16</v>
      </c>
      <c r="AE36" t="s">
        <v>16</v>
      </c>
      <c r="AF36" t="s">
        <v>16</v>
      </c>
      <c r="AG36">
        <v>0</v>
      </c>
      <c r="AH36">
        <v>9</v>
      </c>
      <c r="AI36">
        <v>9</v>
      </c>
      <c r="AJ36">
        <v>0</v>
      </c>
      <c r="AK36">
        <v>4</v>
      </c>
      <c r="AL36" t="s">
        <v>128</v>
      </c>
      <c r="AM36" t="s">
        <v>225</v>
      </c>
      <c r="AN36" t="s">
        <v>788</v>
      </c>
      <c r="AO36" t="s">
        <v>789</v>
      </c>
      <c r="AP36" t="s">
        <v>16</v>
      </c>
      <c r="AQ36" t="s">
        <v>790</v>
      </c>
      <c r="AR36" t="s">
        <v>791</v>
      </c>
      <c r="AS36" t="s">
        <v>792</v>
      </c>
      <c r="AT36" t="s">
        <v>16</v>
      </c>
      <c r="AU36">
        <v>1997</v>
      </c>
      <c r="AV36">
        <v>6</v>
      </c>
      <c r="AW36" t="s">
        <v>16</v>
      </c>
      <c r="AX36" t="s">
        <v>16</v>
      </c>
      <c r="AY36" t="s">
        <v>16</v>
      </c>
      <c r="AZ36" t="s">
        <v>16</v>
      </c>
      <c r="BA36" t="s">
        <v>16</v>
      </c>
      <c r="BB36">
        <v>1</v>
      </c>
      <c r="BC36">
        <v>23</v>
      </c>
      <c r="BD36" t="s">
        <v>16</v>
      </c>
      <c r="BE36" t="s">
        <v>16</v>
      </c>
      <c r="BF36" t="s">
        <v>16</v>
      </c>
      <c r="BG36" t="s">
        <v>16</v>
      </c>
      <c r="BH36" t="s">
        <v>16</v>
      </c>
      <c r="BI36">
        <v>23</v>
      </c>
      <c r="BJ36" t="s">
        <v>40</v>
      </c>
      <c r="BK36" t="s">
        <v>167</v>
      </c>
      <c r="BL36" t="s">
        <v>42</v>
      </c>
      <c r="BM36" t="s">
        <v>793</v>
      </c>
      <c r="BN36" t="s">
        <v>16</v>
      </c>
      <c r="BO36" t="s">
        <v>16</v>
      </c>
      <c r="BP36" t="s">
        <v>16</v>
      </c>
      <c r="BQ36" t="s">
        <v>16</v>
      </c>
      <c r="BR36" t="s">
        <v>44</v>
      </c>
      <c r="BS36" t="s">
        <v>794</v>
      </c>
      <c r="BT36" t="str">
        <f>HYPERLINK("https%3A%2F%2Fwww.webofscience.com%2Fwos%2Fwoscc%2Ffull-record%2FWOS:A1997BH23W00001","View Full Record in Web of Science")</f>
        <v>View Full Record in Web of Science</v>
      </c>
    </row>
    <row r="37" spans="1:72" x14ac:dyDescent="0.2">
      <c r="A37" t="s">
        <v>46</v>
      </c>
      <c r="B37" t="s">
        <v>795</v>
      </c>
      <c r="C37" t="s">
        <v>16</v>
      </c>
      <c r="D37" t="s">
        <v>16</v>
      </c>
      <c r="E37" t="s">
        <v>16</v>
      </c>
      <c r="F37" t="s">
        <v>796</v>
      </c>
      <c r="G37" t="s">
        <v>16</v>
      </c>
      <c r="H37" t="s">
        <v>16</v>
      </c>
      <c r="I37" t="s">
        <v>797</v>
      </c>
      <c r="J37" t="s">
        <v>798</v>
      </c>
      <c r="K37" t="s">
        <v>16</v>
      </c>
      <c r="L37" t="s">
        <v>16</v>
      </c>
      <c r="M37" t="s">
        <v>22</v>
      </c>
      <c r="N37" t="s">
        <v>51</v>
      </c>
      <c r="O37" t="s">
        <v>16</v>
      </c>
      <c r="P37" t="s">
        <v>16</v>
      </c>
      <c r="Q37" t="s">
        <v>16</v>
      </c>
      <c r="R37" t="s">
        <v>16</v>
      </c>
      <c r="S37" t="s">
        <v>16</v>
      </c>
      <c r="T37" t="s">
        <v>799</v>
      </c>
      <c r="U37" t="s">
        <v>800</v>
      </c>
      <c r="V37" t="s">
        <v>801</v>
      </c>
      <c r="W37" t="s">
        <v>802</v>
      </c>
      <c r="X37" t="s">
        <v>803</v>
      </c>
      <c r="Y37" t="s">
        <v>804</v>
      </c>
      <c r="Z37" t="s">
        <v>805</v>
      </c>
      <c r="AA37" t="s">
        <v>806</v>
      </c>
      <c r="AB37" t="s">
        <v>807</v>
      </c>
      <c r="AC37" t="s">
        <v>16</v>
      </c>
      <c r="AD37" t="s">
        <v>16</v>
      </c>
      <c r="AE37" t="s">
        <v>16</v>
      </c>
      <c r="AF37" t="s">
        <v>16</v>
      </c>
      <c r="AG37">
        <v>17</v>
      </c>
      <c r="AH37">
        <v>5</v>
      </c>
      <c r="AI37">
        <v>5</v>
      </c>
      <c r="AJ37">
        <v>0</v>
      </c>
      <c r="AK37">
        <v>0</v>
      </c>
      <c r="AL37" t="s">
        <v>808</v>
      </c>
      <c r="AM37" t="s">
        <v>161</v>
      </c>
      <c r="AN37" t="s">
        <v>809</v>
      </c>
      <c r="AO37" t="s">
        <v>16</v>
      </c>
      <c r="AP37" t="s">
        <v>810</v>
      </c>
      <c r="AQ37" t="s">
        <v>16</v>
      </c>
      <c r="AR37" t="s">
        <v>798</v>
      </c>
      <c r="AS37" t="s">
        <v>811</v>
      </c>
      <c r="AT37" t="s">
        <v>812</v>
      </c>
      <c r="AU37">
        <v>2013</v>
      </c>
      <c r="AV37">
        <v>6</v>
      </c>
      <c r="AW37">
        <v>3</v>
      </c>
      <c r="AX37" t="s">
        <v>16</v>
      </c>
      <c r="AY37" t="s">
        <v>16</v>
      </c>
      <c r="AZ37" t="s">
        <v>188</v>
      </c>
      <c r="BA37" t="s">
        <v>16</v>
      </c>
      <c r="BB37" t="s">
        <v>16</v>
      </c>
      <c r="BC37" t="s">
        <v>16</v>
      </c>
      <c r="BD37" t="s">
        <v>16</v>
      </c>
      <c r="BE37" t="s">
        <v>813</v>
      </c>
      <c r="BF37" t="str">
        <f>HYPERLINK("http://dx.doi.org/10.3390/a6030430","http://dx.doi.org/10.3390/a6030430")</f>
        <v>http://dx.doi.org/10.3390/a6030430</v>
      </c>
      <c r="BG37" t="s">
        <v>16</v>
      </c>
      <c r="BH37" t="s">
        <v>16</v>
      </c>
      <c r="BI37">
        <v>12</v>
      </c>
      <c r="BJ37" t="s">
        <v>296</v>
      </c>
      <c r="BK37" t="s">
        <v>603</v>
      </c>
      <c r="BL37" t="s">
        <v>445</v>
      </c>
      <c r="BM37" t="s">
        <v>814</v>
      </c>
      <c r="BN37" t="s">
        <v>16</v>
      </c>
      <c r="BO37" t="s">
        <v>815</v>
      </c>
      <c r="BP37" t="s">
        <v>16</v>
      </c>
      <c r="BQ37" t="s">
        <v>16</v>
      </c>
      <c r="BR37" t="s">
        <v>44</v>
      </c>
      <c r="BS37" t="s">
        <v>816</v>
      </c>
      <c r="BT37" t="str">
        <f>HYPERLINK("https%3A%2F%2Fwww.webofscience.com%2Fwos%2Fwoscc%2Ffull-record%2FWOS:000214148300004","View Full Record in Web of Science")</f>
        <v>View Full Record in Web of Science</v>
      </c>
    </row>
    <row r="38" spans="1:72" x14ac:dyDescent="0.2">
      <c r="A38" t="s">
        <v>46</v>
      </c>
      <c r="B38" t="s">
        <v>817</v>
      </c>
      <c r="C38" t="s">
        <v>16</v>
      </c>
      <c r="D38" t="s">
        <v>16</v>
      </c>
      <c r="E38" t="s">
        <v>16</v>
      </c>
      <c r="F38" t="s">
        <v>818</v>
      </c>
      <c r="G38" t="s">
        <v>16</v>
      </c>
      <c r="H38" t="s">
        <v>16</v>
      </c>
      <c r="I38" t="s">
        <v>819</v>
      </c>
      <c r="J38" t="s">
        <v>820</v>
      </c>
      <c r="K38" t="s">
        <v>16</v>
      </c>
      <c r="L38" t="s">
        <v>16</v>
      </c>
      <c r="M38" t="s">
        <v>22</v>
      </c>
      <c r="N38" t="s">
        <v>51</v>
      </c>
      <c r="O38" t="s">
        <v>16</v>
      </c>
      <c r="P38" t="s">
        <v>16</v>
      </c>
      <c r="Q38" t="s">
        <v>16</v>
      </c>
      <c r="R38" t="s">
        <v>16</v>
      </c>
      <c r="S38" t="s">
        <v>16</v>
      </c>
      <c r="T38" t="s">
        <v>821</v>
      </c>
      <c r="U38" t="s">
        <v>822</v>
      </c>
      <c r="V38" t="s">
        <v>823</v>
      </c>
      <c r="W38" t="s">
        <v>824</v>
      </c>
      <c r="X38" t="s">
        <v>825</v>
      </c>
      <c r="Y38" t="s">
        <v>826</v>
      </c>
      <c r="Z38" t="s">
        <v>827</v>
      </c>
      <c r="AA38" t="s">
        <v>16</v>
      </c>
      <c r="AB38" t="s">
        <v>16</v>
      </c>
      <c r="AC38" t="s">
        <v>16</v>
      </c>
      <c r="AD38" t="s">
        <v>16</v>
      </c>
      <c r="AE38" t="s">
        <v>16</v>
      </c>
      <c r="AF38" t="s">
        <v>16</v>
      </c>
      <c r="AG38">
        <v>14</v>
      </c>
      <c r="AH38">
        <v>1</v>
      </c>
      <c r="AI38">
        <v>1</v>
      </c>
      <c r="AJ38">
        <v>0</v>
      </c>
      <c r="AK38">
        <v>3</v>
      </c>
      <c r="AL38" t="s">
        <v>128</v>
      </c>
      <c r="AM38" t="s">
        <v>129</v>
      </c>
      <c r="AN38" t="s">
        <v>130</v>
      </c>
      <c r="AO38" t="s">
        <v>828</v>
      </c>
      <c r="AP38" t="s">
        <v>829</v>
      </c>
      <c r="AQ38" t="s">
        <v>16</v>
      </c>
      <c r="AR38" t="s">
        <v>830</v>
      </c>
      <c r="AS38" t="s">
        <v>831</v>
      </c>
      <c r="AT38" t="s">
        <v>135</v>
      </c>
      <c r="AU38">
        <v>2021</v>
      </c>
      <c r="AV38">
        <v>25</v>
      </c>
      <c r="AW38">
        <v>21</v>
      </c>
      <c r="AX38" t="s">
        <v>16</v>
      </c>
      <c r="AY38" t="s">
        <v>16</v>
      </c>
      <c r="AZ38" t="s">
        <v>16</v>
      </c>
      <c r="BA38" t="s">
        <v>16</v>
      </c>
      <c r="BB38">
        <v>13195</v>
      </c>
      <c r="BC38">
        <v>13200</v>
      </c>
      <c r="BD38" t="s">
        <v>16</v>
      </c>
      <c r="BE38" t="s">
        <v>832</v>
      </c>
      <c r="BF38" t="str">
        <f>HYPERLINK("http://dx.doi.org/10.1007/s00500-021-06132-2","http://dx.doi.org/10.1007/s00500-021-06132-2")</f>
        <v>http://dx.doi.org/10.1007/s00500-021-06132-2</v>
      </c>
      <c r="BG38" t="s">
        <v>16</v>
      </c>
      <c r="BH38" t="s">
        <v>833</v>
      </c>
      <c r="BI38">
        <v>6</v>
      </c>
      <c r="BJ38" t="s">
        <v>296</v>
      </c>
      <c r="BK38" t="s">
        <v>73</v>
      </c>
      <c r="BL38" t="s">
        <v>445</v>
      </c>
      <c r="BM38" t="s">
        <v>834</v>
      </c>
      <c r="BN38" t="s">
        <v>16</v>
      </c>
      <c r="BO38" t="s">
        <v>16</v>
      </c>
      <c r="BP38" t="s">
        <v>16</v>
      </c>
      <c r="BQ38" t="s">
        <v>16</v>
      </c>
      <c r="BR38" t="s">
        <v>44</v>
      </c>
      <c r="BS38" t="s">
        <v>835</v>
      </c>
      <c r="BT38" t="str">
        <f>HYPERLINK("https%3A%2F%2Fwww.webofscience.com%2Fwos%2Fwoscc%2Ffull-record%2FWOS:000687512200007","View Full Record in Web of Science")</f>
        <v>View Full Record in Web of Science</v>
      </c>
    </row>
    <row r="39" spans="1:72" x14ac:dyDescent="0.2">
      <c r="A39" t="s">
        <v>46</v>
      </c>
      <c r="B39" t="s">
        <v>836</v>
      </c>
      <c r="C39" t="s">
        <v>16</v>
      </c>
      <c r="D39" t="s">
        <v>16</v>
      </c>
      <c r="E39" t="s">
        <v>16</v>
      </c>
      <c r="F39" t="s">
        <v>836</v>
      </c>
      <c r="G39" t="s">
        <v>16</v>
      </c>
      <c r="H39" t="s">
        <v>16</v>
      </c>
      <c r="I39" t="s">
        <v>837</v>
      </c>
      <c r="J39" t="s">
        <v>220</v>
      </c>
      <c r="K39" t="s">
        <v>16</v>
      </c>
      <c r="L39" t="s">
        <v>16</v>
      </c>
      <c r="M39" t="s">
        <v>22</v>
      </c>
      <c r="N39" t="s">
        <v>51</v>
      </c>
      <c r="O39" t="s">
        <v>16</v>
      </c>
      <c r="P39" t="s">
        <v>16</v>
      </c>
      <c r="Q39" t="s">
        <v>16</v>
      </c>
      <c r="R39" t="s">
        <v>16</v>
      </c>
      <c r="S39" t="s">
        <v>16</v>
      </c>
      <c r="T39" t="s">
        <v>838</v>
      </c>
      <c r="U39" t="s">
        <v>839</v>
      </c>
      <c r="V39" t="s">
        <v>840</v>
      </c>
      <c r="W39" t="s">
        <v>841</v>
      </c>
      <c r="X39" t="s">
        <v>842</v>
      </c>
      <c r="Y39" t="s">
        <v>843</v>
      </c>
      <c r="Z39" t="s">
        <v>844</v>
      </c>
      <c r="AA39" t="s">
        <v>845</v>
      </c>
      <c r="AB39" t="s">
        <v>846</v>
      </c>
      <c r="AC39" t="s">
        <v>16</v>
      </c>
      <c r="AD39" t="s">
        <v>16</v>
      </c>
      <c r="AE39" t="s">
        <v>16</v>
      </c>
      <c r="AF39" t="s">
        <v>16</v>
      </c>
      <c r="AG39">
        <v>18</v>
      </c>
      <c r="AH39">
        <v>14</v>
      </c>
      <c r="AI39">
        <v>15</v>
      </c>
      <c r="AJ39">
        <v>1</v>
      </c>
      <c r="AK39">
        <v>9</v>
      </c>
      <c r="AL39" t="s">
        <v>128</v>
      </c>
      <c r="AM39" t="s">
        <v>225</v>
      </c>
      <c r="AN39" t="s">
        <v>357</v>
      </c>
      <c r="AO39" t="s">
        <v>227</v>
      </c>
      <c r="AP39" t="s">
        <v>700</v>
      </c>
      <c r="AQ39" t="s">
        <v>16</v>
      </c>
      <c r="AR39" t="s">
        <v>220</v>
      </c>
      <c r="AS39" t="s">
        <v>228</v>
      </c>
      <c r="AT39" t="s">
        <v>16</v>
      </c>
      <c r="AU39">
        <v>2003</v>
      </c>
      <c r="AV39">
        <v>134</v>
      </c>
      <c r="AW39">
        <v>3</v>
      </c>
      <c r="AX39" t="s">
        <v>16</v>
      </c>
      <c r="AY39" t="s">
        <v>16</v>
      </c>
      <c r="AZ39" t="s">
        <v>16</v>
      </c>
      <c r="BA39" t="s">
        <v>16</v>
      </c>
      <c r="BB39">
        <v>325</v>
      </c>
      <c r="BC39">
        <v>334</v>
      </c>
      <c r="BD39" t="s">
        <v>16</v>
      </c>
      <c r="BE39" t="s">
        <v>847</v>
      </c>
      <c r="BF39" t="str">
        <f>HYPERLINK("http://dx.doi.org/10.1023/B:EUPH.0000004988.25257.91","http://dx.doi.org/10.1023/B:EUPH.0000004988.25257.91")</f>
        <v>http://dx.doi.org/10.1023/B:EUPH.0000004988.25257.91</v>
      </c>
      <c r="BG39" t="s">
        <v>16</v>
      </c>
      <c r="BH39" t="s">
        <v>16</v>
      </c>
      <c r="BI39">
        <v>10</v>
      </c>
      <c r="BJ39" t="s">
        <v>296</v>
      </c>
      <c r="BK39" t="s">
        <v>73</v>
      </c>
      <c r="BL39" t="s">
        <v>94</v>
      </c>
      <c r="BM39" t="s">
        <v>848</v>
      </c>
      <c r="BN39" t="s">
        <v>16</v>
      </c>
      <c r="BO39" t="s">
        <v>16</v>
      </c>
      <c r="BP39" t="s">
        <v>16</v>
      </c>
      <c r="BQ39" t="s">
        <v>16</v>
      </c>
      <c r="BR39" t="s">
        <v>44</v>
      </c>
      <c r="BS39" t="s">
        <v>849</v>
      </c>
      <c r="BT39" t="str">
        <f>HYPERLINK("https%3A%2F%2Fwww.webofscience.com%2Fwos%2Fwoscc%2Ffull-record%2FWOS:000186733600010","View Full Record in Web of Science")</f>
        <v>View Full Record in Web of Science</v>
      </c>
    </row>
    <row r="40" spans="1:72" x14ac:dyDescent="0.2">
      <c r="A40" t="s">
        <v>46</v>
      </c>
      <c r="B40" t="s">
        <v>850</v>
      </c>
      <c r="C40" t="s">
        <v>16</v>
      </c>
      <c r="D40" t="s">
        <v>16</v>
      </c>
      <c r="E40" t="s">
        <v>16</v>
      </c>
      <c r="F40" t="s">
        <v>851</v>
      </c>
      <c r="G40" t="s">
        <v>16</v>
      </c>
      <c r="H40" t="s">
        <v>16</v>
      </c>
      <c r="I40" t="s">
        <v>852</v>
      </c>
      <c r="J40" t="s">
        <v>651</v>
      </c>
      <c r="K40" t="s">
        <v>16</v>
      </c>
      <c r="L40" t="s">
        <v>16</v>
      </c>
      <c r="M40" t="s">
        <v>22</v>
      </c>
      <c r="N40" t="s">
        <v>118</v>
      </c>
      <c r="O40" t="s">
        <v>16</v>
      </c>
      <c r="P40" t="s">
        <v>16</v>
      </c>
      <c r="Q40" t="s">
        <v>16</v>
      </c>
      <c r="R40" t="s">
        <v>16</v>
      </c>
      <c r="S40" t="s">
        <v>16</v>
      </c>
      <c r="T40" t="s">
        <v>853</v>
      </c>
      <c r="U40" t="s">
        <v>854</v>
      </c>
      <c r="V40" t="s">
        <v>855</v>
      </c>
      <c r="W40" t="s">
        <v>856</v>
      </c>
      <c r="X40" t="s">
        <v>635</v>
      </c>
      <c r="Y40" t="s">
        <v>857</v>
      </c>
      <c r="Z40" t="s">
        <v>858</v>
      </c>
      <c r="AA40" t="s">
        <v>859</v>
      </c>
      <c r="AB40" t="s">
        <v>860</v>
      </c>
      <c r="AC40" t="s">
        <v>861</v>
      </c>
      <c r="AD40" t="s">
        <v>862</v>
      </c>
      <c r="AE40" t="s">
        <v>863</v>
      </c>
      <c r="AF40" t="s">
        <v>16</v>
      </c>
      <c r="AG40">
        <v>110</v>
      </c>
      <c r="AH40">
        <v>17</v>
      </c>
      <c r="AI40">
        <v>19</v>
      </c>
      <c r="AJ40">
        <v>0</v>
      </c>
      <c r="AK40">
        <v>38</v>
      </c>
      <c r="AL40" t="s">
        <v>638</v>
      </c>
      <c r="AM40" t="s">
        <v>639</v>
      </c>
      <c r="AN40" t="s">
        <v>640</v>
      </c>
      <c r="AO40" t="s">
        <v>661</v>
      </c>
      <c r="AP40" t="s">
        <v>642</v>
      </c>
      <c r="AQ40" t="s">
        <v>16</v>
      </c>
      <c r="AR40" t="s">
        <v>662</v>
      </c>
      <c r="AS40" t="s">
        <v>663</v>
      </c>
      <c r="AT40" t="s">
        <v>16</v>
      </c>
      <c r="AU40">
        <v>2015</v>
      </c>
      <c r="AV40">
        <v>66</v>
      </c>
      <c r="AW40">
        <v>9</v>
      </c>
      <c r="AX40" t="s">
        <v>16</v>
      </c>
      <c r="AY40" t="s">
        <v>16</v>
      </c>
      <c r="AZ40" t="s">
        <v>16</v>
      </c>
      <c r="BA40" t="s">
        <v>16</v>
      </c>
      <c r="BB40">
        <v>877</v>
      </c>
      <c r="BC40">
        <v>893</v>
      </c>
      <c r="BD40" t="s">
        <v>16</v>
      </c>
      <c r="BE40" t="s">
        <v>864</v>
      </c>
      <c r="BF40" t="str">
        <f>HYPERLINK("http://dx.doi.org/10.1071/CP14361","http://dx.doi.org/10.1071/CP14361")</f>
        <v>http://dx.doi.org/10.1071/CP14361</v>
      </c>
      <c r="BG40" t="s">
        <v>16</v>
      </c>
      <c r="BH40" t="s">
        <v>16</v>
      </c>
      <c r="BI40">
        <v>17</v>
      </c>
      <c r="BJ40" t="s">
        <v>296</v>
      </c>
      <c r="BK40" t="s">
        <v>73</v>
      </c>
      <c r="BL40" t="s">
        <v>42</v>
      </c>
      <c r="BM40" t="s">
        <v>865</v>
      </c>
      <c r="BN40" t="s">
        <v>16</v>
      </c>
      <c r="BO40" t="s">
        <v>16</v>
      </c>
      <c r="BP40" t="s">
        <v>16</v>
      </c>
      <c r="BQ40" t="s">
        <v>16</v>
      </c>
      <c r="BR40" t="s">
        <v>44</v>
      </c>
      <c r="BS40" t="s">
        <v>866</v>
      </c>
      <c r="BT40" t="str">
        <f>HYPERLINK("https%3A%2F%2Fwww.webofscience.com%2Fwos%2Fwoscc%2Ffull-record%2FWOS:000360967800001","View Full Record in Web of Science")</f>
        <v>View Full Record in Web of Science</v>
      </c>
    </row>
    <row r="41" spans="1:72" x14ac:dyDescent="0.2">
      <c r="A41" t="s">
        <v>141</v>
      </c>
      <c r="B41" t="s">
        <v>867</v>
      </c>
      <c r="C41" t="s">
        <v>16</v>
      </c>
      <c r="D41" t="s">
        <v>868</v>
      </c>
      <c r="E41" t="s">
        <v>16</v>
      </c>
      <c r="F41" t="s">
        <v>867</v>
      </c>
      <c r="G41" t="s">
        <v>16</v>
      </c>
      <c r="H41" t="s">
        <v>16</v>
      </c>
      <c r="I41" t="s">
        <v>869</v>
      </c>
      <c r="J41" t="s">
        <v>870</v>
      </c>
      <c r="K41" t="s">
        <v>871</v>
      </c>
      <c r="L41" t="s">
        <v>16</v>
      </c>
      <c r="M41" t="s">
        <v>22</v>
      </c>
      <c r="N41" t="s">
        <v>147</v>
      </c>
      <c r="O41" t="s">
        <v>872</v>
      </c>
      <c r="P41" t="s">
        <v>873</v>
      </c>
      <c r="Q41" t="s">
        <v>874</v>
      </c>
      <c r="R41" t="s">
        <v>875</v>
      </c>
      <c r="S41" t="s">
        <v>16</v>
      </c>
      <c r="T41" t="s">
        <v>876</v>
      </c>
      <c r="U41" t="s">
        <v>16</v>
      </c>
      <c r="V41" t="s">
        <v>877</v>
      </c>
      <c r="W41" t="s">
        <v>878</v>
      </c>
      <c r="X41" t="s">
        <v>156</v>
      </c>
      <c r="Y41" t="s">
        <v>879</v>
      </c>
      <c r="Z41" t="s">
        <v>16</v>
      </c>
      <c r="AA41" t="s">
        <v>659</v>
      </c>
      <c r="AB41" t="s">
        <v>16</v>
      </c>
      <c r="AC41" t="s">
        <v>16</v>
      </c>
      <c r="AD41" t="s">
        <v>16</v>
      </c>
      <c r="AE41" t="s">
        <v>16</v>
      </c>
      <c r="AF41" t="s">
        <v>16</v>
      </c>
      <c r="AG41">
        <v>12</v>
      </c>
      <c r="AH41">
        <v>0</v>
      </c>
      <c r="AI41">
        <v>0</v>
      </c>
      <c r="AJ41">
        <v>0</v>
      </c>
      <c r="AK41">
        <v>1</v>
      </c>
      <c r="AL41" t="s">
        <v>128</v>
      </c>
      <c r="AM41" t="s">
        <v>225</v>
      </c>
      <c r="AN41" t="s">
        <v>788</v>
      </c>
      <c r="AO41" t="s">
        <v>16</v>
      </c>
      <c r="AP41" t="s">
        <v>16</v>
      </c>
      <c r="AQ41" t="s">
        <v>880</v>
      </c>
      <c r="AR41" t="s">
        <v>881</v>
      </c>
      <c r="AS41" t="s">
        <v>16</v>
      </c>
      <c r="AT41" t="s">
        <v>16</v>
      </c>
      <c r="AU41">
        <v>2001</v>
      </c>
      <c r="AV41">
        <v>10</v>
      </c>
      <c r="AW41" t="s">
        <v>16</v>
      </c>
      <c r="AX41" t="s">
        <v>16</v>
      </c>
      <c r="AY41" t="s">
        <v>16</v>
      </c>
      <c r="AZ41" t="s">
        <v>16</v>
      </c>
      <c r="BA41" t="s">
        <v>16</v>
      </c>
      <c r="BB41">
        <v>67</v>
      </c>
      <c r="BC41">
        <v>82</v>
      </c>
      <c r="BD41" t="s">
        <v>16</v>
      </c>
      <c r="BE41" t="s">
        <v>16</v>
      </c>
      <c r="BF41" t="s">
        <v>16</v>
      </c>
      <c r="BG41" t="s">
        <v>16</v>
      </c>
      <c r="BH41" t="s">
        <v>16</v>
      </c>
      <c r="BI41">
        <v>16</v>
      </c>
      <c r="BJ41" t="s">
        <v>296</v>
      </c>
      <c r="BK41" t="s">
        <v>167</v>
      </c>
      <c r="BL41" t="s">
        <v>320</v>
      </c>
      <c r="BM41" t="s">
        <v>882</v>
      </c>
      <c r="BN41" t="s">
        <v>16</v>
      </c>
      <c r="BO41" t="s">
        <v>16</v>
      </c>
      <c r="BP41" t="s">
        <v>16</v>
      </c>
      <c r="BQ41" t="s">
        <v>16</v>
      </c>
      <c r="BR41" t="s">
        <v>44</v>
      </c>
      <c r="BS41" t="s">
        <v>883</v>
      </c>
      <c r="BT41" t="str">
        <f>HYPERLINK("https%3A%2F%2Fwww.webofscience.com%2Fwos%2Fwoscc%2Ffull-record%2FWOS:000169858400005","View Full Record in Web of Science")</f>
        <v>View Full Record in Web of Science</v>
      </c>
    </row>
    <row r="42" spans="1:72" x14ac:dyDescent="0.2">
      <c r="A42" t="s">
        <v>46</v>
      </c>
      <c r="B42" t="s">
        <v>884</v>
      </c>
      <c r="C42" t="s">
        <v>16</v>
      </c>
      <c r="D42" t="s">
        <v>16</v>
      </c>
      <c r="E42" t="s">
        <v>16</v>
      </c>
      <c r="F42" t="s">
        <v>885</v>
      </c>
      <c r="G42" t="s">
        <v>16</v>
      </c>
      <c r="H42" t="s">
        <v>16</v>
      </c>
      <c r="I42" t="s">
        <v>886</v>
      </c>
      <c r="J42" t="s">
        <v>50</v>
      </c>
      <c r="K42" t="s">
        <v>16</v>
      </c>
      <c r="L42" t="s">
        <v>16</v>
      </c>
      <c r="M42" t="s">
        <v>22</v>
      </c>
      <c r="N42" t="s">
        <v>51</v>
      </c>
      <c r="O42" t="s">
        <v>16</v>
      </c>
      <c r="P42" t="s">
        <v>16</v>
      </c>
      <c r="Q42" t="s">
        <v>16</v>
      </c>
      <c r="R42" t="s">
        <v>16</v>
      </c>
      <c r="S42" t="s">
        <v>16</v>
      </c>
      <c r="T42" t="s">
        <v>16</v>
      </c>
      <c r="U42" t="s">
        <v>887</v>
      </c>
      <c r="V42" t="s">
        <v>888</v>
      </c>
      <c r="W42" t="s">
        <v>889</v>
      </c>
      <c r="X42" t="s">
        <v>890</v>
      </c>
      <c r="Y42" t="s">
        <v>891</v>
      </c>
      <c r="Z42" t="s">
        <v>892</v>
      </c>
      <c r="AA42" t="s">
        <v>893</v>
      </c>
      <c r="AB42" t="s">
        <v>894</v>
      </c>
      <c r="AC42" t="s">
        <v>895</v>
      </c>
      <c r="AD42" t="s">
        <v>896</v>
      </c>
      <c r="AE42" t="s">
        <v>897</v>
      </c>
      <c r="AF42" t="s">
        <v>16</v>
      </c>
      <c r="AG42">
        <v>41</v>
      </c>
      <c r="AH42">
        <v>8</v>
      </c>
      <c r="AI42">
        <v>9</v>
      </c>
      <c r="AJ42">
        <v>0</v>
      </c>
      <c r="AK42">
        <v>4</v>
      </c>
      <c r="AL42" t="s">
        <v>63</v>
      </c>
      <c r="AM42" t="s">
        <v>64</v>
      </c>
      <c r="AN42" t="s">
        <v>65</v>
      </c>
      <c r="AO42" t="s">
        <v>66</v>
      </c>
      <c r="AP42" t="s">
        <v>67</v>
      </c>
      <c r="AQ42" t="s">
        <v>16</v>
      </c>
      <c r="AR42" t="s">
        <v>68</v>
      </c>
      <c r="AS42" t="s">
        <v>69</v>
      </c>
      <c r="AT42" t="s">
        <v>769</v>
      </c>
      <c r="AU42">
        <v>2018</v>
      </c>
      <c r="AV42">
        <v>58</v>
      </c>
      <c r="AW42">
        <v>4</v>
      </c>
      <c r="AX42" t="s">
        <v>16</v>
      </c>
      <c r="AY42" t="s">
        <v>16</v>
      </c>
      <c r="AZ42" t="s">
        <v>16</v>
      </c>
      <c r="BA42" t="s">
        <v>16</v>
      </c>
      <c r="BB42">
        <v>1470</v>
      </c>
      <c r="BC42">
        <v>1480</v>
      </c>
      <c r="BD42" t="s">
        <v>16</v>
      </c>
      <c r="BE42" t="s">
        <v>898</v>
      </c>
      <c r="BF42" t="str">
        <f>HYPERLINK("http://dx.doi.org/10.2135/cropsci2017.07.0442","http://dx.doi.org/10.2135/cropsci2017.07.0442")</f>
        <v>http://dx.doi.org/10.2135/cropsci2017.07.0442</v>
      </c>
      <c r="BG42" t="s">
        <v>16</v>
      </c>
      <c r="BH42" t="s">
        <v>16</v>
      </c>
      <c r="BI42">
        <v>11</v>
      </c>
      <c r="BJ42" t="s">
        <v>40</v>
      </c>
      <c r="BK42" t="s">
        <v>73</v>
      </c>
      <c r="BL42" t="s">
        <v>42</v>
      </c>
      <c r="BM42" t="s">
        <v>899</v>
      </c>
      <c r="BN42">
        <v>33343009</v>
      </c>
      <c r="BO42" t="s">
        <v>900</v>
      </c>
      <c r="BP42" t="s">
        <v>16</v>
      </c>
      <c r="BQ42" t="s">
        <v>16</v>
      </c>
      <c r="BR42" t="s">
        <v>44</v>
      </c>
      <c r="BS42" t="s">
        <v>901</v>
      </c>
      <c r="BT42" t="str">
        <f>HYPERLINK("https%3A%2F%2Fwww.webofscience.com%2Fwos%2Fwoscc%2Ffull-record%2FWOS:000442536500003","View Full Record in Web of Science")</f>
        <v>View Full Record in Web of Science</v>
      </c>
    </row>
    <row r="43" spans="1:72" x14ac:dyDescent="0.2">
      <c r="A43" t="s">
        <v>46</v>
      </c>
      <c r="B43" t="s">
        <v>902</v>
      </c>
      <c r="C43" t="s">
        <v>16</v>
      </c>
      <c r="D43" t="s">
        <v>16</v>
      </c>
      <c r="E43" t="s">
        <v>16</v>
      </c>
      <c r="F43" t="s">
        <v>903</v>
      </c>
      <c r="G43" t="s">
        <v>16</v>
      </c>
      <c r="H43" t="s">
        <v>16</v>
      </c>
      <c r="I43" t="s">
        <v>904</v>
      </c>
      <c r="J43" t="s">
        <v>905</v>
      </c>
      <c r="K43" t="s">
        <v>16</v>
      </c>
      <c r="L43" t="s">
        <v>16</v>
      </c>
      <c r="M43" t="s">
        <v>22</v>
      </c>
      <c r="N43" t="s">
        <v>51</v>
      </c>
      <c r="O43" t="s">
        <v>16</v>
      </c>
      <c r="P43" t="s">
        <v>16</v>
      </c>
      <c r="Q43" t="s">
        <v>16</v>
      </c>
      <c r="R43" t="s">
        <v>16</v>
      </c>
      <c r="S43" t="s">
        <v>16</v>
      </c>
      <c r="T43" t="s">
        <v>906</v>
      </c>
      <c r="U43" t="s">
        <v>907</v>
      </c>
      <c r="V43" t="s">
        <v>908</v>
      </c>
      <c r="W43" t="s">
        <v>909</v>
      </c>
      <c r="X43" t="s">
        <v>910</v>
      </c>
      <c r="Y43" t="s">
        <v>16</v>
      </c>
      <c r="Z43" t="s">
        <v>911</v>
      </c>
      <c r="AA43" t="s">
        <v>912</v>
      </c>
      <c r="AB43" t="s">
        <v>16</v>
      </c>
      <c r="AC43" t="s">
        <v>16</v>
      </c>
      <c r="AD43" t="s">
        <v>16</v>
      </c>
      <c r="AE43" t="s">
        <v>16</v>
      </c>
      <c r="AF43" t="s">
        <v>16</v>
      </c>
      <c r="AG43">
        <v>20</v>
      </c>
      <c r="AH43">
        <v>7</v>
      </c>
      <c r="AI43">
        <v>7</v>
      </c>
      <c r="AJ43">
        <v>0</v>
      </c>
      <c r="AK43">
        <v>0</v>
      </c>
      <c r="AL43" t="s">
        <v>913</v>
      </c>
      <c r="AM43" t="s">
        <v>914</v>
      </c>
      <c r="AN43" t="s">
        <v>915</v>
      </c>
      <c r="AO43" t="s">
        <v>916</v>
      </c>
      <c r="AP43" t="s">
        <v>917</v>
      </c>
      <c r="AQ43" t="s">
        <v>16</v>
      </c>
      <c r="AR43" t="s">
        <v>905</v>
      </c>
      <c r="AS43" t="s">
        <v>918</v>
      </c>
      <c r="AT43" t="s">
        <v>16</v>
      </c>
      <c r="AU43">
        <v>2010</v>
      </c>
      <c r="AV43">
        <v>55</v>
      </c>
      <c r="AW43" t="s">
        <v>919</v>
      </c>
      <c r="AX43" t="s">
        <v>16</v>
      </c>
      <c r="AY43" t="s">
        <v>16</v>
      </c>
      <c r="AZ43" t="s">
        <v>16</v>
      </c>
      <c r="BA43" t="s">
        <v>16</v>
      </c>
      <c r="BB43">
        <v>219</v>
      </c>
      <c r="BC43">
        <v>225</v>
      </c>
      <c r="BD43" t="s">
        <v>16</v>
      </c>
      <c r="BE43" t="s">
        <v>16</v>
      </c>
      <c r="BF43" t="s">
        <v>16</v>
      </c>
      <c r="BG43" t="s">
        <v>16</v>
      </c>
      <c r="BH43" t="s">
        <v>16</v>
      </c>
      <c r="BI43">
        <v>7</v>
      </c>
      <c r="BJ43" t="s">
        <v>92</v>
      </c>
      <c r="BK43" t="s">
        <v>73</v>
      </c>
      <c r="BL43" t="s">
        <v>94</v>
      </c>
      <c r="BM43" t="s">
        <v>920</v>
      </c>
      <c r="BN43" t="s">
        <v>16</v>
      </c>
      <c r="BO43" t="s">
        <v>16</v>
      </c>
      <c r="BP43" t="s">
        <v>16</v>
      </c>
      <c r="BQ43" t="s">
        <v>16</v>
      </c>
      <c r="BR43" t="s">
        <v>44</v>
      </c>
      <c r="BS43" t="s">
        <v>921</v>
      </c>
      <c r="BT43" t="str">
        <f>HYPERLINK("https%3A%2F%2Fwww.webofscience.com%2Fwos%2Fwoscc%2Ffull-record%2FWOS:000287637400006","View Full Record in Web of Science")</f>
        <v>View Full Record in Web of Science</v>
      </c>
    </row>
    <row r="44" spans="1:72" x14ac:dyDescent="0.2">
      <c r="A44" t="s">
        <v>46</v>
      </c>
      <c r="B44" t="s">
        <v>922</v>
      </c>
      <c r="C44" t="s">
        <v>16</v>
      </c>
      <c r="D44" t="s">
        <v>16</v>
      </c>
      <c r="E44" t="s">
        <v>16</v>
      </c>
      <c r="F44" t="s">
        <v>923</v>
      </c>
      <c r="G44" t="s">
        <v>16</v>
      </c>
      <c r="H44" t="s">
        <v>16</v>
      </c>
      <c r="I44" t="s">
        <v>924</v>
      </c>
      <c r="J44" t="s">
        <v>50</v>
      </c>
      <c r="K44" t="s">
        <v>16</v>
      </c>
      <c r="L44" t="s">
        <v>16</v>
      </c>
      <c r="M44" t="s">
        <v>22</v>
      </c>
      <c r="N44" t="s">
        <v>51</v>
      </c>
      <c r="O44" t="s">
        <v>16</v>
      </c>
      <c r="P44" t="s">
        <v>16</v>
      </c>
      <c r="Q44" t="s">
        <v>16</v>
      </c>
      <c r="R44" t="s">
        <v>16</v>
      </c>
      <c r="S44" t="s">
        <v>16</v>
      </c>
      <c r="T44" t="s">
        <v>16</v>
      </c>
      <c r="U44" t="s">
        <v>925</v>
      </c>
      <c r="V44" t="s">
        <v>926</v>
      </c>
      <c r="W44" t="s">
        <v>927</v>
      </c>
      <c r="X44" t="s">
        <v>928</v>
      </c>
      <c r="Y44" t="s">
        <v>929</v>
      </c>
      <c r="Z44" t="s">
        <v>763</v>
      </c>
      <c r="AA44" t="s">
        <v>930</v>
      </c>
      <c r="AB44" t="s">
        <v>931</v>
      </c>
      <c r="AC44" t="s">
        <v>932</v>
      </c>
      <c r="AD44" t="s">
        <v>933</v>
      </c>
      <c r="AE44" t="s">
        <v>934</v>
      </c>
      <c r="AF44" t="s">
        <v>16</v>
      </c>
      <c r="AG44">
        <v>33</v>
      </c>
      <c r="AH44">
        <v>119</v>
      </c>
      <c r="AI44">
        <v>130</v>
      </c>
      <c r="AJ44">
        <v>1</v>
      </c>
      <c r="AK44">
        <v>21</v>
      </c>
      <c r="AL44" t="s">
        <v>107</v>
      </c>
      <c r="AM44" t="s">
        <v>108</v>
      </c>
      <c r="AN44" t="s">
        <v>109</v>
      </c>
      <c r="AO44" t="s">
        <v>66</v>
      </c>
      <c r="AP44" t="s">
        <v>67</v>
      </c>
      <c r="AQ44" t="s">
        <v>16</v>
      </c>
      <c r="AR44" t="s">
        <v>68</v>
      </c>
      <c r="AS44" t="s">
        <v>69</v>
      </c>
      <c r="AT44" t="s">
        <v>110</v>
      </c>
      <c r="AU44">
        <v>2017</v>
      </c>
      <c r="AV44">
        <v>57</v>
      </c>
      <c r="AW44">
        <v>5</v>
      </c>
      <c r="AX44" t="s">
        <v>16</v>
      </c>
      <c r="AY44" t="s">
        <v>16</v>
      </c>
      <c r="AZ44" t="s">
        <v>16</v>
      </c>
      <c r="BA44" t="s">
        <v>16</v>
      </c>
      <c r="BB44">
        <v>2372</v>
      </c>
      <c r="BC44">
        <v>2386</v>
      </c>
      <c r="BD44" t="s">
        <v>16</v>
      </c>
      <c r="BE44" t="s">
        <v>935</v>
      </c>
      <c r="BF44" t="str">
        <f>HYPERLINK("http://dx.doi.org/10.2135/cropsci2016.09.0742","http://dx.doi.org/10.2135/cropsci2016.09.0742")</f>
        <v>http://dx.doi.org/10.2135/cropsci2016.09.0742</v>
      </c>
      <c r="BG44" t="s">
        <v>16</v>
      </c>
      <c r="BH44" t="s">
        <v>16</v>
      </c>
      <c r="BI44">
        <v>15</v>
      </c>
      <c r="BJ44" t="s">
        <v>40</v>
      </c>
      <c r="BK44" t="s">
        <v>73</v>
      </c>
      <c r="BL44" t="s">
        <v>42</v>
      </c>
      <c r="BM44" t="s">
        <v>936</v>
      </c>
      <c r="BN44" t="s">
        <v>16</v>
      </c>
      <c r="BO44" t="s">
        <v>937</v>
      </c>
      <c r="BP44" t="s">
        <v>16</v>
      </c>
      <c r="BQ44" t="s">
        <v>16</v>
      </c>
      <c r="BR44" t="s">
        <v>44</v>
      </c>
      <c r="BS44" t="s">
        <v>938</v>
      </c>
      <c r="BT44" t="str">
        <f>HYPERLINK("https%3A%2F%2Fwww.webofscience.com%2Fwos%2Fwoscc%2Ffull-record%2FWOS:000410728900007","View Full Record in Web of Science")</f>
        <v>View Full Record in Web of Science</v>
      </c>
    </row>
    <row r="45" spans="1:72" x14ac:dyDescent="0.2">
      <c r="A45" t="s">
        <v>46</v>
      </c>
      <c r="B45" t="s">
        <v>939</v>
      </c>
      <c r="C45" t="s">
        <v>16</v>
      </c>
      <c r="D45" t="s">
        <v>16</v>
      </c>
      <c r="E45" t="s">
        <v>16</v>
      </c>
      <c r="F45" t="s">
        <v>940</v>
      </c>
      <c r="G45" t="s">
        <v>16</v>
      </c>
      <c r="H45" t="s">
        <v>16</v>
      </c>
      <c r="I45" t="s">
        <v>941</v>
      </c>
      <c r="J45" t="s">
        <v>942</v>
      </c>
      <c r="K45" t="s">
        <v>16</v>
      </c>
      <c r="L45" t="s">
        <v>16</v>
      </c>
      <c r="M45" t="s">
        <v>22</v>
      </c>
      <c r="N45" t="s">
        <v>943</v>
      </c>
      <c r="O45" t="s">
        <v>16</v>
      </c>
      <c r="P45" t="s">
        <v>16</v>
      </c>
      <c r="Q45" t="s">
        <v>16</v>
      </c>
      <c r="R45" t="s">
        <v>16</v>
      </c>
      <c r="S45" t="s">
        <v>16</v>
      </c>
      <c r="T45" t="s">
        <v>944</v>
      </c>
      <c r="U45" t="s">
        <v>945</v>
      </c>
      <c r="V45" t="s">
        <v>946</v>
      </c>
      <c r="W45" t="s">
        <v>947</v>
      </c>
      <c r="X45" t="s">
        <v>948</v>
      </c>
      <c r="Y45" t="s">
        <v>949</v>
      </c>
      <c r="Z45" t="s">
        <v>950</v>
      </c>
      <c r="AA45" t="s">
        <v>16</v>
      </c>
      <c r="AB45" t="s">
        <v>951</v>
      </c>
      <c r="AC45" t="s">
        <v>952</v>
      </c>
      <c r="AD45" t="s">
        <v>952</v>
      </c>
      <c r="AE45" t="s">
        <v>953</v>
      </c>
      <c r="AF45" t="s">
        <v>16</v>
      </c>
      <c r="AG45">
        <v>39</v>
      </c>
      <c r="AH45">
        <v>1</v>
      </c>
      <c r="AI45">
        <v>1</v>
      </c>
      <c r="AJ45">
        <v>3</v>
      </c>
      <c r="AK45">
        <v>8</v>
      </c>
      <c r="AL45" t="s">
        <v>128</v>
      </c>
      <c r="AM45" t="s">
        <v>129</v>
      </c>
      <c r="AN45" t="s">
        <v>130</v>
      </c>
      <c r="AO45" t="s">
        <v>954</v>
      </c>
      <c r="AP45" t="s">
        <v>955</v>
      </c>
      <c r="AQ45" t="s">
        <v>16</v>
      </c>
      <c r="AR45" t="s">
        <v>956</v>
      </c>
      <c r="AS45" t="s">
        <v>957</v>
      </c>
      <c r="AT45" t="s">
        <v>958</v>
      </c>
      <c r="AU45">
        <v>2024</v>
      </c>
      <c r="AV45" t="s">
        <v>16</v>
      </c>
      <c r="AW45" t="s">
        <v>16</v>
      </c>
      <c r="AX45" t="s">
        <v>16</v>
      </c>
      <c r="AY45" t="s">
        <v>16</v>
      </c>
      <c r="AZ45" t="s">
        <v>16</v>
      </c>
      <c r="BA45" t="s">
        <v>16</v>
      </c>
      <c r="BB45" t="s">
        <v>16</v>
      </c>
      <c r="BC45" t="s">
        <v>16</v>
      </c>
      <c r="BD45" t="s">
        <v>16</v>
      </c>
      <c r="BE45" t="s">
        <v>959</v>
      </c>
      <c r="BF45" t="str">
        <f>HYPERLINK("http://dx.doi.org/10.1007/s13253-024-00632-y","http://dx.doi.org/10.1007/s13253-024-00632-y")</f>
        <v>http://dx.doi.org/10.1007/s13253-024-00632-y</v>
      </c>
      <c r="BG45" t="s">
        <v>16</v>
      </c>
      <c r="BH45" t="s">
        <v>960</v>
      </c>
      <c r="BI45">
        <v>22</v>
      </c>
      <c r="BJ45" t="s">
        <v>296</v>
      </c>
      <c r="BK45" t="s">
        <v>73</v>
      </c>
      <c r="BL45" t="s">
        <v>961</v>
      </c>
      <c r="BM45" t="s">
        <v>962</v>
      </c>
      <c r="BN45" t="s">
        <v>16</v>
      </c>
      <c r="BO45" t="s">
        <v>772</v>
      </c>
      <c r="BP45" t="s">
        <v>16</v>
      </c>
      <c r="BQ45" t="s">
        <v>16</v>
      </c>
      <c r="BR45" t="s">
        <v>44</v>
      </c>
      <c r="BS45" t="s">
        <v>963</v>
      </c>
      <c r="BT45" t="str">
        <f>HYPERLINK("https%3A%2F%2Fwww.webofscience.com%2Fwos%2Fwoscc%2Ffull-record%2FWOS:001251043400001","View Full Record in Web of Science")</f>
        <v>View Full Record in Web of Science</v>
      </c>
    </row>
    <row r="46" spans="1:72" x14ac:dyDescent="0.2">
      <c r="A46" t="s">
        <v>46</v>
      </c>
      <c r="B46" t="s">
        <v>964</v>
      </c>
      <c r="C46" t="s">
        <v>16</v>
      </c>
      <c r="D46" t="s">
        <v>16</v>
      </c>
      <c r="E46" t="s">
        <v>16</v>
      </c>
      <c r="F46" t="s">
        <v>965</v>
      </c>
      <c r="G46" t="s">
        <v>16</v>
      </c>
      <c r="H46" t="s">
        <v>16</v>
      </c>
      <c r="I46" t="s">
        <v>966</v>
      </c>
      <c r="J46" t="s">
        <v>734</v>
      </c>
      <c r="K46" t="s">
        <v>16</v>
      </c>
      <c r="L46" t="s">
        <v>16</v>
      </c>
      <c r="M46" t="s">
        <v>22</v>
      </c>
      <c r="N46" t="s">
        <v>51</v>
      </c>
      <c r="O46" t="s">
        <v>16</v>
      </c>
      <c r="P46" t="s">
        <v>16</v>
      </c>
      <c r="Q46" t="s">
        <v>16</v>
      </c>
      <c r="R46" t="s">
        <v>16</v>
      </c>
      <c r="S46" t="s">
        <v>16</v>
      </c>
      <c r="T46" t="s">
        <v>967</v>
      </c>
      <c r="U46" t="s">
        <v>968</v>
      </c>
      <c r="V46" t="s">
        <v>969</v>
      </c>
      <c r="W46" t="s">
        <v>970</v>
      </c>
      <c r="X46" t="s">
        <v>971</v>
      </c>
      <c r="Y46" t="s">
        <v>972</v>
      </c>
      <c r="Z46" t="s">
        <v>973</v>
      </c>
      <c r="AA46" t="s">
        <v>16</v>
      </c>
      <c r="AB46" t="s">
        <v>16</v>
      </c>
      <c r="AC46" t="s">
        <v>16</v>
      </c>
      <c r="AD46" t="s">
        <v>16</v>
      </c>
      <c r="AE46" t="s">
        <v>16</v>
      </c>
      <c r="AF46" t="s">
        <v>16</v>
      </c>
      <c r="AG46">
        <v>30</v>
      </c>
      <c r="AH46">
        <v>110</v>
      </c>
      <c r="AI46">
        <v>137</v>
      </c>
      <c r="AJ46">
        <v>0</v>
      </c>
      <c r="AK46">
        <v>69</v>
      </c>
      <c r="AL46" t="s">
        <v>332</v>
      </c>
      <c r="AM46" t="s">
        <v>333</v>
      </c>
      <c r="AN46" t="s">
        <v>334</v>
      </c>
      <c r="AO46" t="s">
        <v>748</v>
      </c>
      <c r="AP46" t="s">
        <v>16</v>
      </c>
      <c r="AQ46" t="s">
        <v>16</v>
      </c>
      <c r="AR46" t="s">
        <v>749</v>
      </c>
      <c r="AS46" t="s">
        <v>750</v>
      </c>
      <c r="AT46" t="s">
        <v>974</v>
      </c>
      <c r="AU46">
        <v>2013</v>
      </c>
      <c r="AV46">
        <v>3</v>
      </c>
      <c r="AW46">
        <v>3</v>
      </c>
      <c r="AX46" t="s">
        <v>16</v>
      </c>
      <c r="AY46" t="s">
        <v>16</v>
      </c>
      <c r="AZ46" t="s">
        <v>16</v>
      </c>
      <c r="BA46" t="s">
        <v>16</v>
      </c>
      <c r="BB46">
        <v>481</v>
      </c>
      <c r="BC46">
        <v>491</v>
      </c>
      <c r="BD46" t="s">
        <v>16</v>
      </c>
      <c r="BE46" t="s">
        <v>975</v>
      </c>
      <c r="BF46" t="str">
        <f>HYPERLINK("http://dx.doi.org/10.1534/g3.112.004911","http://dx.doi.org/10.1534/g3.112.004911")</f>
        <v>http://dx.doi.org/10.1534/g3.112.004911</v>
      </c>
      <c r="BG46" t="s">
        <v>16</v>
      </c>
      <c r="BH46" t="s">
        <v>16</v>
      </c>
      <c r="BI46">
        <v>11</v>
      </c>
      <c r="BJ46" t="s">
        <v>339</v>
      </c>
      <c r="BK46" t="s">
        <v>73</v>
      </c>
      <c r="BL46" t="s">
        <v>339</v>
      </c>
      <c r="BM46" t="s">
        <v>976</v>
      </c>
      <c r="BN46">
        <v>23450123</v>
      </c>
      <c r="BO46" t="s">
        <v>341</v>
      </c>
      <c r="BP46" t="s">
        <v>16</v>
      </c>
      <c r="BQ46" t="s">
        <v>16</v>
      </c>
      <c r="BR46" t="s">
        <v>44</v>
      </c>
      <c r="BS46" t="s">
        <v>977</v>
      </c>
      <c r="BT46" t="str">
        <f>HYPERLINK("https%3A%2F%2Fwww.webofscience.com%2Fwos%2Fwoscc%2Ffull-record%2FWOS:000315950000009","View Full Record in Web of Science")</f>
        <v>View Full Record in Web of Science</v>
      </c>
    </row>
    <row r="47" spans="1:72" x14ac:dyDescent="0.2">
      <c r="A47" t="s">
        <v>46</v>
      </c>
      <c r="B47" t="s">
        <v>978</v>
      </c>
      <c r="C47" t="s">
        <v>16</v>
      </c>
      <c r="D47" t="s">
        <v>16</v>
      </c>
      <c r="E47" t="s">
        <v>16</v>
      </c>
      <c r="F47" t="s">
        <v>979</v>
      </c>
      <c r="G47" t="s">
        <v>16</v>
      </c>
      <c r="H47" t="s">
        <v>16</v>
      </c>
      <c r="I47" t="s">
        <v>980</v>
      </c>
      <c r="J47" t="s">
        <v>50</v>
      </c>
      <c r="K47" t="s">
        <v>16</v>
      </c>
      <c r="L47" t="s">
        <v>16</v>
      </c>
      <c r="M47" t="s">
        <v>22</v>
      </c>
      <c r="N47" t="s">
        <v>51</v>
      </c>
      <c r="O47" t="s">
        <v>16</v>
      </c>
      <c r="P47" t="s">
        <v>16</v>
      </c>
      <c r="Q47" t="s">
        <v>16</v>
      </c>
      <c r="R47" t="s">
        <v>16</v>
      </c>
      <c r="S47" t="s">
        <v>16</v>
      </c>
      <c r="T47" t="s">
        <v>16</v>
      </c>
      <c r="U47" t="s">
        <v>981</v>
      </c>
      <c r="V47" t="s">
        <v>982</v>
      </c>
      <c r="W47" t="s">
        <v>983</v>
      </c>
      <c r="X47" t="s">
        <v>984</v>
      </c>
      <c r="Y47" t="s">
        <v>985</v>
      </c>
      <c r="Z47" t="s">
        <v>986</v>
      </c>
      <c r="AA47" t="s">
        <v>16</v>
      </c>
      <c r="AB47" t="s">
        <v>16</v>
      </c>
      <c r="AC47" t="s">
        <v>987</v>
      </c>
      <c r="AD47" t="s">
        <v>988</v>
      </c>
      <c r="AE47" t="s">
        <v>989</v>
      </c>
      <c r="AF47" t="s">
        <v>16</v>
      </c>
      <c r="AG47">
        <v>54</v>
      </c>
      <c r="AH47">
        <v>31</v>
      </c>
      <c r="AI47">
        <v>36</v>
      </c>
      <c r="AJ47">
        <v>0</v>
      </c>
      <c r="AK47">
        <v>5</v>
      </c>
      <c r="AL47" t="s">
        <v>63</v>
      </c>
      <c r="AM47" t="s">
        <v>64</v>
      </c>
      <c r="AN47" t="s">
        <v>65</v>
      </c>
      <c r="AO47" t="s">
        <v>66</v>
      </c>
      <c r="AP47" t="s">
        <v>67</v>
      </c>
      <c r="AQ47" t="s">
        <v>16</v>
      </c>
      <c r="AR47" t="s">
        <v>68</v>
      </c>
      <c r="AS47" t="s">
        <v>69</v>
      </c>
      <c r="AT47" t="s">
        <v>990</v>
      </c>
      <c r="AU47">
        <v>2018</v>
      </c>
      <c r="AV47">
        <v>58</v>
      </c>
      <c r="AW47">
        <v>3</v>
      </c>
      <c r="AX47" t="s">
        <v>16</v>
      </c>
      <c r="AY47" t="s">
        <v>16</v>
      </c>
      <c r="AZ47" t="s">
        <v>16</v>
      </c>
      <c r="BA47" t="s">
        <v>16</v>
      </c>
      <c r="BB47">
        <v>1118</v>
      </c>
      <c r="BC47">
        <v>1131</v>
      </c>
      <c r="BD47" t="s">
        <v>16</v>
      </c>
      <c r="BE47" t="s">
        <v>991</v>
      </c>
      <c r="BF47" t="str">
        <f>HYPERLINK("http://dx.doi.org/10.2135/cropsci2017.07.0456","http://dx.doi.org/10.2135/cropsci2017.07.0456")</f>
        <v>http://dx.doi.org/10.2135/cropsci2017.07.0456</v>
      </c>
      <c r="BG47" t="s">
        <v>16</v>
      </c>
      <c r="BH47" t="s">
        <v>16</v>
      </c>
      <c r="BI47">
        <v>14</v>
      </c>
      <c r="BJ47" t="s">
        <v>40</v>
      </c>
      <c r="BK47" t="s">
        <v>73</v>
      </c>
      <c r="BL47" t="s">
        <v>42</v>
      </c>
      <c r="BM47" t="s">
        <v>992</v>
      </c>
      <c r="BN47" t="s">
        <v>16</v>
      </c>
      <c r="BO47" t="s">
        <v>75</v>
      </c>
      <c r="BP47" t="s">
        <v>16</v>
      </c>
      <c r="BQ47" t="s">
        <v>16</v>
      </c>
      <c r="BR47" t="s">
        <v>44</v>
      </c>
      <c r="BS47" t="s">
        <v>993</v>
      </c>
      <c r="BT47" t="str">
        <f>HYPERLINK("https%3A%2F%2Fwww.webofscience.com%2Fwos%2Fwoscc%2Ffull-record%2FWOS:000442536000007","View Full Record in Web of Science")</f>
        <v>View Full Record in Web of Science</v>
      </c>
    </row>
    <row r="48" spans="1:72" x14ac:dyDescent="0.2">
      <c r="A48" t="s">
        <v>77</v>
      </c>
      <c r="B48" t="s">
        <v>994</v>
      </c>
      <c r="C48" t="s">
        <v>16</v>
      </c>
      <c r="D48" t="s">
        <v>995</v>
      </c>
      <c r="E48" t="s">
        <v>16</v>
      </c>
      <c r="F48" t="s">
        <v>996</v>
      </c>
      <c r="G48" t="s">
        <v>16</v>
      </c>
      <c r="H48" t="s">
        <v>16</v>
      </c>
      <c r="I48" t="s">
        <v>997</v>
      </c>
      <c r="J48" t="s">
        <v>998</v>
      </c>
      <c r="K48" t="s">
        <v>16</v>
      </c>
      <c r="L48" t="s">
        <v>16</v>
      </c>
      <c r="M48" t="s">
        <v>22</v>
      </c>
      <c r="N48" t="s">
        <v>83</v>
      </c>
      <c r="O48" t="s">
        <v>16</v>
      </c>
      <c r="P48" t="s">
        <v>16</v>
      </c>
      <c r="Q48" t="s">
        <v>16</v>
      </c>
      <c r="R48" t="s">
        <v>16</v>
      </c>
      <c r="S48" t="s">
        <v>16</v>
      </c>
      <c r="T48" t="s">
        <v>999</v>
      </c>
      <c r="U48" t="s">
        <v>1000</v>
      </c>
      <c r="V48" t="s">
        <v>1001</v>
      </c>
      <c r="W48" t="s">
        <v>1002</v>
      </c>
      <c r="X48" t="s">
        <v>1003</v>
      </c>
      <c r="Y48" t="s">
        <v>1004</v>
      </c>
      <c r="Z48" t="s">
        <v>1005</v>
      </c>
      <c r="AA48" t="s">
        <v>16</v>
      </c>
      <c r="AB48" t="s">
        <v>1006</v>
      </c>
      <c r="AC48" t="s">
        <v>16</v>
      </c>
      <c r="AD48" t="s">
        <v>16</v>
      </c>
      <c r="AE48" t="s">
        <v>16</v>
      </c>
      <c r="AF48" t="s">
        <v>16</v>
      </c>
      <c r="AG48">
        <v>20</v>
      </c>
      <c r="AH48">
        <v>0</v>
      </c>
      <c r="AI48">
        <v>0</v>
      </c>
      <c r="AJ48">
        <v>0</v>
      </c>
      <c r="AK48">
        <v>3</v>
      </c>
      <c r="AL48" t="s">
        <v>1007</v>
      </c>
      <c r="AM48" t="s">
        <v>1008</v>
      </c>
      <c r="AN48" t="s">
        <v>1009</v>
      </c>
      <c r="AO48" t="s">
        <v>16</v>
      </c>
      <c r="AP48" t="s">
        <v>16</v>
      </c>
      <c r="AQ48" t="s">
        <v>1010</v>
      </c>
      <c r="AR48" t="s">
        <v>16</v>
      </c>
      <c r="AS48" t="s">
        <v>16</v>
      </c>
      <c r="AT48" t="s">
        <v>16</v>
      </c>
      <c r="AU48">
        <v>2010</v>
      </c>
      <c r="AV48" t="s">
        <v>16</v>
      </c>
      <c r="AW48" t="s">
        <v>16</v>
      </c>
      <c r="AX48" t="s">
        <v>16</v>
      </c>
      <c r="AY48" t="s">
        <v>16</v>
      </c>
      <c r="AZ48" t="s">
        <v>16</v>
      </c>
      <c r="BA48" t="s">
        <v>16</v>
      </c>
      <c r="BB48">
        <v>421</v>
      </c>
      <c r="BC48">
        <v>444</v>
      </c>
      <c r="BD48" t="s">
        <v>16</v>
      </c>
      <c r="BE48" t="s">
        <v>16</v>
      </c>
      <c r="BF48" t="s">
        <v>16</v>
      </c>
      <c r="BG48" t="s">
        <v>16</v>
      </c>
      <c r="BH48" t="s">
        <v>16</v>
      </c>
      <c r="BI48">
        <v>24</v>
      </c>
      <c r="BJ48" t="s">
        <v>214</v>
      </c>
      <c r="BK48" t="s">
        <v>93</v>
      </c>
      <c r="BL48" t="s">
        <v>214</v>
      </c>
      <c r="BM48" t="s">
        <v>1011</v>
      </c>
      <c r="BN48" t="s">
        <v>16</v>
      </c>
      <c r="BO48" t="s">
        <v>16</v>
      </c>
      <c r="BP48" t="s">
        <v>16</v>
      </c>
      <c r="BQ48" t="s">
        <v>16</v>
      </c>
      <c r="BR48" t="s">
        <v>44</v>
      </c>
      <c r="BS48" t="s">
        <v>1012</v>
      </c>
      <c r="BT48" t="str">
        <f>HYPERLINK("https%3A%2F%2Fwww.webofscience.com%2Fwos%2Fwoscc%2Ffull-record%2FWOS:000293772800016","View Full Record in Web of Science")</f>
        <v>View Full Record in Web of Science</v>
      </c>
    </row>
    <row r="49" spans="1:72" x14ac:dyDescent="0.2">
      <c r="A49" t="s">
        <v>46</v>
      </c>
      <c r="B49" t="s">
        <v>1013</v>
      </c>
      <c r="C49" t="s">
        <v>16</v>
      </c>
      <c r="D49" t="s">
        <v>16</v>
      </c>
      <c r="E49" t="s">
        <v>16</v>
      </c>
      <c r="F49" t="s">
        <v>1014</v>
      </c>
      <c r="G49" t="s">
        <v>16</v>
      </c>
      <c r="H49" t="s">
        <v>16</v>
      </c>
      <c r="I49" t="s">
        <v>1015</v>
      </c>
      <c r="J49" t="s">
        <v>1016</v>
      </c>
      <c r="K49" t="s">
        <v>16</v>
      </c>
      <c r="L49" t="s">
        <v>16</v>
      </c>
      <c r="M49" t="s">
        <v>22</v>
      </c>
      <c r="N49" t="s">
        <v>51</v>
      </c>
      <c r="O49" t="s">
        <v>16</v>
      </c>
      <c r="P49" t="s">
        <v>16</v>
      </c>
      <c r="Q49" t="s">
        <v>16</v>
      </c>
      <c r="R49" t="s">
        <v>16</v>
      </c>
      <c r="S49" t="s">
        <v>16</v>
      </c>
      <c r="T49" t="s">
        <v>1017</v>
      </c>
      <c r="U49" t="s">
        <v>1018</v>
      </c>
      <c r="V49" t="s">
        <v>1019</v>
      </c>
      <c r="W49" t="s">
        <v>1020</v>
      </c>
      <c r="X49" t="s">
        <v>1021</v>
      </c>
      <c r="Y49" t="s">
        <v>1022</v>
      </c>
      <c r="Z49" t="s">
        <v>16</v>
      </c>
      <c r="AA49" t="s">
        <v>1023</v>
      </c>
      <c r="AB49" t="s">
        <v>1024</v>
      </c>
      <c r="AC49" t="s">
        <v>16</v>
      </c>
      <c r="AD49" t="s">
        <v>16</v>
      </c>
      <c r="AE49" t="s">
        <v>16</v>
      </c>
      <c r="AF49" t="s">
        <v>16</v>
      </c>
      <c r="AG49">
        <v>16</v>
      </c>
      <c r="AH49">
        <v>3</v>
      </c>
      <c r="AI49">
        <v>4</v>
      </c>
      <c r="AJ49">
        <v>0</v>
      </c>
      <c r="AK49">
        <v>4</v>
      </c>
      <c r="AL49" t="s">
        <v>1025</v>
      </c>
      <c r="AM49" t="s">
        <v>1026</v>
      </c>
      <c r="AN49" t="s">
        <v>1027</v>
      </c>
      <c r="AO49" t="s">
        <v>1028</v>
      </c>
      <c r="AP49" t="s">
        <v>16</v>
      </c>
      <c r="AQ49" t="s">
        <v>16</v>
      </c>
      <c r="AR49" t="s">
        <v>1016</v>
      </c>
      <c r="AS49" t="s">
        <v>1029</v>
      </c>
      <c r="AT49" t="s">
        <v>318</v>
      </c>
      <c r="AU49">
        <v>2010</v>
      </c>
      <c r="AV49">
        <v>20</v>
      </c>
      <c r="AW49">
        <v>6</v>
      </c>
      <c r="AX49" t="s">
        <v>16</v>
      </c>
      <c r="AY49" t="s">
        <v>16</v>
      </c>
      <c r="AZ49" t="s">
        <v>16</v>
      </c>
      <c r="BA49" t="s">
        <v>16</v>
      </c>
      <c r="BB49">
        <v>1049</v>
      </c>
      <c r="BC49">
        <v>1053</v>
      </c>
      <c r="BD49" t="s">
        <v>16</v>
      </c>
      <c r="BE49" t="s">
        <v>1030</v>
      </c>
      <c r="BF49" t="str">
        <f>HYPERLINK("http://dx.doi.org/10.21273/HORTSCI.20.6.1049","http://dx.doi.org/10.21273/HORTSCI.20.6.1049")</f>
        <v>http://dx.doi.org/10.21273/HORTSCI.20.6.1049</v>
      </c>
      <c r="BG49" t="s">
        <v>16</v>
      </c>
      <c r="BH49" t="s">
        <v>16</v>
      </c>
      <c r="BI49">
        <v>5</v>
      </c>
      <c r="BJ49" t="s">
        <v>1031</v>
      </c>
      <c r="BK49" t="s">
        <v>73</v>
      </c>
      <c r="BL49" t="s">
        <v>42</v>
      </c>
      <c r="BM49" t="s">
        <v>1032</v>
      </c>
      <c r="BN49" t="s">
        <v>16</v>
      </c>
      <c r="BO49" t="s">
        <v>16</v>
      </c>
      <c r="BP49" t="s">
        <v>16</v>
      </c>
      <c r="BQ49" t="s">
        <v>16</v>
      </c>
      <c r="BR49" t="s">
        <v>44</v>
      </c>
      <c r="BS49" t="s">
        <v>1033</v>
      </c>
      <c r="BT49" t="str">
        <f>HYPERLINK("https%3A%2F%2Fwww.webofscience.com%2Fwos%2Fwoscc%2Ffull-record%2FWOS:000285824600016","View Full Record in Web of Science")</f>
        <v>View Full Record in Web of Science</v>
      </c>
    </row>
    <row r="50" spans="1:72" x14ac:dyDescent="0.2">
      <c r="A50" t="s">
        <v>46</v>
      </c>
      <c r="B50" t="s">
        <v>1034</v>
      </c>
      <c r="C50" t="s">
        <v>16</v>
      </c>
      <c r="D50" t="s">
        <v>16</v>
      </c>
      <c r="E50" t="s">
        <v>16</v>
      </c>
      <c r="F50" t="s">
        <v>1035</v>
      </c>
      <c r="G50" t="s">
        <v>16</v>
      </c>
      <c r="H50" t="s">
        <v>16</v>
      </c>
      <c r="I50" t="s">
        <v>1036</v>
      </c>
      <c r="J50" t="s">
        <v>1037</v>
      </c>
      <c r="K50" t="s">
        <v>16</v>
      </c>
      <c r="L50" t="s">
        <v>16</v>
      </c>
      <c r="M50" t="s">
        <v>22</v>
      </c>
      <c r="N50" t="s">
        <v>118</v>
      </c>
      <c r="O50" t="s">
        <v>16</v>
      </c>
      <c r="P50" t="s">
        <v>16</v>
      </c>
      <c r="Q50" t="s">
        <v>16</v>
      </c>
      <c r="R50" t="s">
        <v>16</v>
      </c>
      <c r="S50" t="s">
        <v>16</v>
      </c>
      <c r="T50" t="s">
        <v>1038</v>
      </c>
      <c r="U50" t="s">
        <v>1039</v>
      </c>
      <c r="V50" t="s">
        <v>1040</v>
      </c>
      <c r="W50" t="s">
        <v>1041</v>
      </c>
      <c r="X50" t="s">
        <v>1042</v>
      </c>
      <c r="Y50" t="s">
        <v>1043</v>
      </c>
      <c r="Z50" t="s">
        <v>1044</v>
      </c>
      <c r="AA50" t="s">
        <v>1045</v>
      </c>
      <c r="AB50" t="s">
        <v>1046</v>
      </c>
      <c r="AC50" t="s">
        <v>16</v>
      </c>
      <c r="AD50" t="s">
        <v>16</v>
      </c>
      <c r="AE50" t="s">
        <v>16</v>
      </c>
      <c r="AF50" t="s">
        <v>16</v>
      </c>
      <c r="AG50">
        <v>184</v>
      </c>
      <c r="AH50">
        <v>19</v>
      </c>
      <c r="AI50">
        <v>20</v>
      </c>
      <c r="AJ50">
        <v>4</v>
      </c>
      <c r="AK50">
        <v>40</v>
      </c>
      <c r="AL50" t="s">
        <v>128</v>
      </c>
      <c r="AM50" t="s">
        <v>129</v>
      </c>
      <c r="AN50" t="s">
        <v>130</v>
      </c>
      <c r="AO50" t="s">
        <v>1047</v>
      </c>
      <c r="AP50" t="s">
        <v>1048</v>
      </c>
      <c r="AQ50" t="s">
        <v>16</v>
      </c>
      <c r="AR50" t="s">
        <v>1037</v>
      </c>
      <c r="AS50" t="s">
        <v>1049</v>
      </c>
      <c r="AT50" t="s">
        <v>135</v>
      </c>
      <c r="AU50">
        <v>2022</v>
      </c>
      <c r="AV50">
        <v>256</v>
      </c>
      <c r="AW50">
        <v>5</v>
      </c>
      <c r="AX50" t="s">
        <v>16</v>
      </c>
      <c r="AY50" t="s">
        <v>16</v>
      </c>
      <c r="AZ50" t="s">
        <v>16</v>
      </c>
      <c r="BA50" t="s">
        <v>16</v>
      </c>
      <c r="BB50" t="s">
        <v>16</v>
      </c>
      <c r="BC50" t="s">
        <v>16</v>
      </c>
      <c r="BD50">
        <v>87</v>
      </c>
      <c r="BE50" t="s">
        <v>1050</v>
      </c>
      <c r="BF50" t="str">
        <f>HYPERLINK("http://dx.doi.org/10.1007/s00425-022-03996-y","http://dx.doi.org/10.1007/s00425-022-03996-y")</f>
        <v>http://dx.doi.org/10.1007/s00425-022-03996-y</v>
      </c>
      <c r="BG50" t="s">
        <v>16</v>
      </c>
      <c r="BH50" t="s">
        <v>16</v>
      </c>
      <c r="BI50">
        <v>20</v>
      </c>
      <c r="BJ50" t="s">
        <v>214</v>
      </c>
      <c r="BK50" t="s">
        <v>73</v>
      </c>
      <c r="BL50" t="s">
        <v>214</v>
      </c>
      <c r="BM50" t="s">
        <v>1051</v>
      </c>
      <c r="BN50">
        <v>36149531</v>
      </c>
      <c r="BO50" t="s">
        <v>16</v>
      </c>
      <c r="BP50" t="s">
        <v>16</v>
      </c>
      <c r="BQ50" t="s">
        <v>16</v>
      </c>
      <c r="BR50" t="s">
        <v>44</v>
      </c>
      <c r="BS50" t="s">
        <v>1052</v>
      </c>
      <c r="BT50" t="str">
        <f>HYPERLINK("https%3A%2F%2Fwww.webofscience.com%2Fwos%2Fwoscc%2Ffull-record%2FWOS:000857669100001","View Full Record in Web of Science")</f>
        <v>View Full Record in Web of Science</v>
      </c>
    </row>
    <row r="51" spans="1:72" x14ac:dyDescent="0.2">
      <c r="A51" t="s">
        <v>46</v>
      </c>
      <c r="B51" t="s">
        <v>1053</v>
      </c>
      <c r="C51" t="s">
        <v>16</v>
      </c>
      <c r="D51" t="s">
        <v>16</v>
      </c>
      <c r="E51" t="s">
        <v>16</v>
      </c>
      <c r="F51" t="s">
        <v>1054</v>
      </c>
      <c r="G51" t="s">
        <v>16</v>
      </c>
      <c r="H51" t="s">
        <v>16</v>
      </c>
      <c r="I51" t="s">
        <v>1055</v>
      </c>
      <c r="J51" t="s">
        <v>1056</v>
      </c>
      <c r="K51" t="s">
        <v>16</v>
      </c>
      <c r="L51" t="s">
        <v>16</v>
      </c>
      <c r="M51" t="s">
        <v>22</v>
      </c>
      <c r="N51" t="s">
        <v>51</v>
      </c>
      <c r="O51" t="s">
        <v>16</v>
      </c>
      <c r="P51" t="s">
        <v>16</v>
      </c>
      <c r="Q51" t="s">
        <v>16</v>
      </c>
      <c r="R51" t="s">
        <v>16</v>
      </c>
      <c r="S51" t="s">
        <v>16</v>
      </c>
      <c r="T51" t="s">
        <v>1057</v>
      </c>
      <c r="U51" t="s">
        <v>1058</v>
      </c>
      <c r="V51" t="s">
        <v>1059</v>
      </c>
      <c r="W51" t="s">
        <v>1060</v>
      </c>
      <c r="X51" t="s">
        <v>1061</v>
      </c>
      <c r="Y51" t="s">
        <v>1062</v>
      </c>
      <c r="Z51" t="s">
        <v>1063</v>
      </c>
      <c r="AA51" t="s">
        <v>16</v>
      </c>
      <c r="AB51" t="s">
        <v>1064</v>
      </c>
      <c r="AC51" t="s">
        <v>1065</v>
      </c>
      <c r="AD51" t="s">
        <v>1066</v>
      </c>
      <c r="AE51" t="s">
        <v>1067</v>
      </c>
      <c r="AF51" t="s">
        <v>16</v>
      </c>
      <c r="AG51">
        <v>23</v>
      </c>
      <c r="AH51">
        <v>4</v>
      </c>
      <c r="AI51">
        <v>6</v>
      </c>
      <c r="AJ51">
        <v>0</v>
      </c>
      <c r="AK51">
        <v>8</v>
      </c>
      <c r="AL51" t="s">
        <v>1068</v>
      </c>
      <c r="AM51" t="s">
        <v>1069</v>
      </c>
      <c r="AN51" t="s">
        <v>1070</v>
      </c>
      <c r="AO51" t="s">
        <v>1071</v>
      </c>
      <c r="AP51" t="s">
        <v>1072</v>
      </c>
      <c r="AQ51" t="s">
        <v>16</v>
      </c>
      <c r="AR51" t="s">
        <v>1073</v>
      </c>
      <c r="AS51" t="s">
        <v>1074</v>
      </c>
      <c r="AT51" t="s">
        <v>318</v>
      </c>
      <c r="AU51">
        <v>2008</v>
      </c>
      <c r="AV51">
        <v>35</v>
      </c>
      <c r="AW51">
        <v>12</v>
      </c>
      <c r="AX51" t="s">
        <v>16</v>
      </c>
      <c r="AY51" t="s">
        <v>16</v>
      </c>
      <c r="AZ51" t="s">
        <v>16</v>
      </c>
      <c r="BA51" t="s">
        <v>16</v>
      </c>
      <c r="BB51">
        <v>737</v>
      </c>
      <c r="BC51">
        <v>742</v>
      </c>
      <c r="BD51" t="s">
        <v>16</v>
      </c>
      <c r="BE51" t="s">
        <v>1075</v>
      </c>
      <c r="BF51" t="str">
        <f>HYPERLINK("http://dx.doi.org/10.1016/S1673-8527(08)60229-5","http://dx.doi.org/10.1016/S1673-8527(08)60229-5")</f>
        <v>http://dx.doi.org/10.1016/S1673-8527(08)60229-5</v>
      </c>
      <c r="BG51" t="s">
        <v>16</v>
      </c>
      <c r="BH51" t="s">
        <v>16</v>
      </c>
      <c r="BI51">
        <v>6</v>
      </c>
      <c r="BJ51" t="s">
        <v>296</v>
      </c>
      <c r="BK51" t="s">
        <v>73</v>
      </c>
      <c r="BL51" t="s">
        <v>1076</v>
      </c>
      <c r="BM51" t="s">
        <v>1077</v>
      </c>
      <c r="BN51">
        <v>19103429</v>
      </c>
      <c r="BO51" t="s">
        <v>16</v>
      </c>
      <c r="BP51" t="s">
        <v>16</v>
      </c>
      <c r="BQ51" t="s">
        <v>16</v>
      </c>
      <c r="BR51" t="s">
        <v>44</v>
      </c>
      <c r="BS51" t="s">
        <v>1078</v>
      </c>
      <c r="BT51" t="str">
        <f>HYPERLINK("https%3A%2F%2Fwww.webofscience.com%2Fwos%2Fwoscc%2Ffull-record%2FWOS:000263427800005","View Full Record in Web of Science")</f>
        <v>View Full Record in Web of Science</v>
      </c>
    </row>
    <row r="52" spans="1:72" x14ac:dyDescent="0.2">
      <c r="A52" t="s">
        <v>14</v>
      </c>
      <c r="B52" t="s">
        <v>1079</v>
      </c>
      <c r="C52" t="s">
        <v>16</v>
      </c>
      <c r="D52" t="s">
        <v>1080</v>
      </c>
      <c r="E52" t="s">
        <v>16</v>
      </c>
      <c r="F52" t="s">
        <v>1081</v>
      </c>
      <c r="G52" t="s">
        <v>16</v>
      </c>
      <c r="H52" t="s">
        <v>16</v>
      </c>
      <c r="I52" t="s">
        <v>1082</v>
      </c>
      <c r="J52" t="s">
        <v>1083</v>
      </c>
      <c r="K52" t="s">
        <v>1084</v>
      </c>
      <c r="L52" t="s">
        <v>16</v>
      </c>
      <c r="M52" t="s">
        <v>22</v>
      </c>
      <c r="N52" t="s">
        <v>83</v>
      </c>
      <c r="O52" t="s">
        <v>16</v>
      </c>
      <c r="P52" t="s">
        <v>16</v>
      </c>
      <c r="Q52" t="s">
        <v>16</v>
      </c>
      <c r="R52" t="s">
        <v>16</v>
      </c>
      <c r="S52" t="s">
        <v>16</v>
      </c>
      <c r="T52" t="s">
        <v>16</v>
      </c>
      <c r="U52" t="s">
        <v>1085</v>
      </c>
      <c r="V52" t="s">
        <v>1086</v>
      </c>
      <c r="W52" t="s">
        <v>1087</v>
      </c>
      <c r="X52" t="s">
        <v>1088</v>
      </c>
      <c r="Y52" t="s">
        <v>1089</v>
      </c>
      <c r="Z52" t="s">
        <v>714</v>
      </c>
      <c r="AA52" t="s">
        <v>1090</v>
      </c>
      <c r="AB52" t="s">
        <v>1091</v>
      </c>
      <c r="AC52" t="s">
        <v>1092</v>
      </c>
      <c r="AD52" t="s">
        <v>1093</v>
      </c>
      <c r="AE52" t="s">
        <v>1094</v>
      </c>
      <c r="AF52" t="s">
        <v>16</v>
      </c>
      <c r="AG52">
        <v>117</v>
      </c>
      <c r="AH52">
        <v>17</v>
      </c>
      <c r="AI52">
        <v>17</v>
      </c>
      <c r="AJ52">
        <v>1</v>
      </c>
      <c r="AK52">
        <v>12</v>
      </c>
      <c r="AL52" t="s">
        <v>1095</v>
      </c>
      <c r="AM52" t="s">
        <v>108</v>
      </c>
      <c r="AN52" t="s">
        <v>1096</v>
      </c>
      <c r="AO52" t="s">
        <v>1097</v>
      </c>
      <c r="AP52" t="s">
        <v>16</v>
      </c>
      <c r="AQ52" t="s">
        <v>1098</v>
      </c>
      <c r="AR52" t="s">
        <v>1099</v>
      </c>
      <c r="AS52" t="s">
        <v>16</v>
      </c>
      <c r="AT52" t="s">
        <v>16</v>
      </c>
      <c r="AU52">
        <v>2019</v>
      </c>
      <c r="AV52">
        <v>58</v>
      </c>
      <c r="AW52" t="s">
        <v>16</v>
      </c>
      <c r="AX52" t="s">
        <v>16</v>
      </c>
      <c r="AY52" t="s">
        <v>16</v>
      </c>
      <c r="AZ52" t="s">
        <v>16</v>
      </c>
      <c r="BA52" t="s">
        <v>16</v>
      </c>
      <c r="BB52">
        <v>215</v>
      </c>
      <c r="BC52">
        <v>239</v>
      </c>
      <c r="BD52" t="s">
        <v>16</v>
      </c>
      <c r="BE52" t="s">
        <v>1100</v>
      </c>
      <c r="BF52" t="str">
        <f>HYPERLINK("http://dx.doi.org/10.2134/agronmonogr58.2014.0064","http://dx.doi.org/10.2134/agronmonogr58.2014.0064")</f>
        <v>http://dx.doi.org/10.2134/agronmonogr58.2014.0064</v>
      </c>
      <c r="BG52" t="s">
        <v>1101</v>
      </c>
      <c r="BH52" t="s">
        <v>16</v>
      </c>
      <c r="BI52">
        <v>25</v>
      </c>
      <c r="BJ52" t="s">
        <v>40</v>
      </c>
      <c r="BK52" t="s">
        <v>93</v>
      </c>
      <c r="BL52" t="s">
        <v>42</v>
      </c>
      <c r="BM52" t="s">
        <v>1102</v>
      </c>
      <c r="BN52" t="s">
        <v>16</v>
      </c>
      <c r="BO52" t="s">
        <v>16</v>
      </c>
      <c r="BP52" t="s">
        <v>16</v>
      </c>
      <c r="BQ52" t="s">
        <v>16</v>
      </c>
      <c r="BR52" t="s">
        <v>44</v>
      </c>
      <c r="BS52" t="s">
        <v>1103</v>
      </c>
      <c r="BT52" t="str">
        <f>HYPERLINK("https%3A%2F%2Fwww.webofscience.com%2Fwos%2Fwoscc%2Ffull-record%2FWOS:000668148800012","View Full Record in Web of Science")</f>
        <v>View Full Record in Web of Science</v>
      </c>
    </row>
    <row r="53" spans="1:72" x14ac:dyDescent="0.2">
      <c r="A53" t="s">
        <v>46</v>
      </c>
      <c r="B53" t="s">
        <v>1104</v>
      </c>
      <c r="C53" t="s">
        <v>16</v>
      </c>
      <c r="D53" t="s">
        <v>16</v>
      </c>
      <c r="E53" t="s">
        <v>16</v>
      </c>
      <c r="F53" t="s">
        <v>1105</v>
      </c>
      <c r="G53" t="s">
        <v>16</v>
      </c>
      <c r="H53" t="s">
        <v>16</v>
      </c>
      <c r="I53" t="s">
        <v>1106</v>
      </c>
      <c r="J53" t="s">
        <v>117</v>
      </c>
      <c r="K53" t="s">
        <v>16</v>
      </c>
      <c r="L53" t="s">
        <v>16</v>
      </c>
      <c r="M53" t="s">
        <v>22</v>
      </c>
      <c r="N53" t="s">
        <v>943</v>
      </c>
      <c r="O53" t="s">
        <v>16</v>
      </c>
      <c r="P53" t="s">
        <v>16</v>
      </c>
      <c r="Q53" t="s">
        <v>16</v>
      </c>
      <c r="R53" t="s">
        <v>16</v>
      </c>
      <c r="S53" t="s">
        <v>16</v>
      </c>
      <c r="T53" t="s">
        <v>16</v>
      </c>
      <c r="U53" t="s">
        <v>1107</v>
      </c>
      <c r="V53" t="s">
        <v>1108</v>
      </c>
      <c r="W53" t="s">
        <v>1109</v>
      </c>
      <c r="X53" t="s">
        <v>1110</v>
      </c>
      <c r="Y53" t="s">
        <v>1111</v>
      </c>
      <c r="Z53" t="s">
        <v>1112</v>
      </c>
      <c r="AA53" t="s">
        <v>1113</v>
      </c>
      <c r="AB53" t="s">
        <v>1114</v>
      </c>
      <c r="AC53" t="s">
        <v>1115</v>
      </c>
      <c r="AD53" t="s">
        <v>1116</v>
      </c>
      <c r="AE53" t="s">
        <v>1117</v>
      </c>
      <c r="AF53" t="s">
        <v>16</v>
      </c>
      <c r="AG53">
        <v>66</v>
      </c>
      <c r="AH53">
        <v>6</v>
      </c>
      <c r="AI53">
        <v>6</v>
      </c>
      <c r="AJ53">
        <v>1</v>
      </c>
      <c r="AK53">
        <v>15</v>
      </c>
      <c r="AL53" t="s">
        <v>128</v>
      </c>
      <c r="AM53" t="s">
        <v>129</v>
      </c>
      <c r="AN53" t="s">
        <v>130</v>
      </c>
      <c r="AO53" t="s">
        <v>131</v>
      </c>
      <c r="AP53" t="s">
        <v>132</v>
      </c>
      <c r="AQ53" t="s">
        <v>16</v>
      </c>
      <c r="AR53" t="s">
        <v>133</v>
      </c>
      <c r="AS53" t="s">
        <v>134</v>
      </c>
      <c r="AT53" t="s">
        <v>1118</v>
      </c>
      <c r="AU53">
        <v>2022</v>
      </c>
      <c r="AV53" t="s">
        <v>16</v>
      </c>
      <c r="AW53" t="s">
        <v>16</v>
      </c>
      <c r="AX53" t="s">
        <v>16</v>
      </c>
      <c r="AY53" t="s">
        <v>16</v>
      </c>
      <c r="AZ53" t="s">
        <v>16</v>
      </c>
      <c r="BA53" t="s">
        <v>16</v>
      </c>
      <c r="BB53" t="s">
        <v>16</v>
      </c>
      <c r="BC53" t="s">
        <v>16</v>
      </c>
      <c r="BD53" t="s">
        <v>16</v>
      </c>
      <c r="BE53" t="s">
        <v>1119</v>
      </c>
      <c r="BF53" t="str">
        <f>HYPERLINK("http://dx.doi.org/10.1007/s00122-022-04072-5","http://dx.doi.org/10.1007/s00122-022-04072-5")</f>
        <v>http://dx.doi.org/10.1007/s00122-022-04072-5</v>
      </c>
      <c r="BG53" t="s">
        <v>16</v>
      </c>
      <c r="BH53" t="s">
        <v>1120</v>
      </c>
      <c r="BI53">
        <v>15</v>
      </c>
      <c r="BJ53" t="s">
        <v>296</v>
      </c>
      <c r="BK53" t="s">
        <v>73</v>
      </c>
      <c r="BL53" t="s">
        <v>137</v>
      </c>
      <c r="BM53" t="s">
        <v>1121</v>
      </c>
      <c r="BN53">
        <v>35294575</v>
      </c>
      <c r="BO53" t="s">
        <v>1122</v>
      </c>
      <c r="BP53" t="s">
        <v>16</v>
      </c>
      <c r="BQ53" t="s">
        <v>16</v>
      </c>
      <c r="BR53" t="s">
        <v>44</v>
      </c>
      <c r="BS53" t="s">
        <v>1123</v>
      </c>
      <c r="BT53" t="str">
        <f>HYPERLINK("https%3A%2F%2Fwww.webofscience.com%2Fwos%2Fwoscc%2Ffull-record%2FWOS:000769832800001","View Full Record in Web of Science")</f>
        <v>View Full Record in Web of Science</v>
      </c>
    </row>
    <row r="54" spans="1:72" x14ac:dyDescent="0.2">
      <c r="A54" t="s">
        <v>46</v>
      </c>
      <c r="B54" t="s">
        <v>1124</v>
      </c>
      <c r="C54" t="s">
        <v>16</v>
      </c>
      <c r="D54" t="s">
        <v>16</v>
      </c>
      <c r="E54" t="s">
        <v>16</v>
      </c>
      <c r="F54" t="s">
        <v>1125</v>
      </c>
      <c r="G54" t="s">
        <v>16</v>
      </c>
      <c r="H54" t="s">
        <v>16</v>
      </c>
      <c r="I54" t="s">
        <v>1126</v>
      </c>
      <c r="J54" t="s">
        <v>220</v>
      </c>
      <c r="K54" t="s">
        <v>16</v>
      </c>
      <c r="L54" t="s">
        <v>16</v>
      </c>
      <c r="M54" t="s">
        <v>22</v>
      </c>
      <c r="N54" t="s">
        <v>51</v>
      </c>
      <c r="O54" t="s">
        <v>16</v>
      </c>
      <c r="P54" t="s">
        <v>16</v>
      </c>
      <c r="Q54" t="s">
        <v>16</v>
      </c>
      <c r="R54" t="s">
        <v>16</v>
      </c>
      <c r="S54" t="s">
        <v>16</v>
      </c>
      <c r="T54" t="s">
        <v>1127</v>
      </c>
      <c r="U54" t="s">
        <v>1128</v>
      </c>
      <c r="V54" t="s">
        <v>1129</v>
      </c>
      <c r="W54" t="s">
        <v>1130</v>
      </c>
      <c r="X54" t="s">
        <v>1131</v>
      </c>
      <c r="Y54" t="s">
        <v>1132</v>
      </c>
      <c r="Z54" t="s">
        <v>1133</v>
      </c>
      <c r="AA54" t="s">
        <v>16</v>
      </c>
      <c r="AB54" t="s">
        <v>1134</v>
      </c>
      <c r="AC54" t="s">
        <v>1135</v>
      </c>
      <c r="AD54" t="s">
        <v>1136</v>
      </c>
      <c r="AE54" t="s">
        <v>1137</v>
      </c>
      <c r="AF54" t="s">
        <v>16</v>
      </c>
      <c r="AG54">
        <v>57</v>
      </c>
      <c r="AH54">
        <v>9</v>
      </c>
      <c r="AI54">
        <v>10</v>
      </c>
      <c r="AJ54">
        <v>1</v>
      </c>
      <c r="AK54">
        <v>16</v>
      </c>
      <c r="AL54" t="s">
        <v>128</v>
      </c>
      <c r="AM54" t="s">
        <v>225</v>
      </c>
      <c r="AN54" t="s">
        <v>357</v>
      </c>
      <c r="AO54" t="s">
        <v>227</v>
      </c>
      <c r="AP54" t="s">
        <v>700</v>
      </c>
      <c r="AQ54" t="s">
        <v>16</v>
      </c>
      <c r="AR54" t="s">
        <v>220</v>
      </c>
      <c r="AS54" t="s">
        <v>228</v>
      </c>
      <c r="AT54" t="s">
        <v>1138</v>
      </c>
      <c r="AU54">
        <v>2019</v>
      </c>
      <c r="AV54">
        <v>215</v>
      </c>
      <c r="AW54">
        <v>7</v>
      </c>
      <c r="AX54" t="s">
        <v>16</v>
      </c>
      <c r="AY54" t="s">
        <v>16</v>
      </c>
      <c r="AZ54" t="s">
        <v>16</v>
      </c>
      <c r="BA54" t="s">
        <v>16</v>
      </c>
      <c r="BB54" t="s">
        <v>16</v>
      </c>
      <c r="BC54" t="s">
        <v>16</v>
      </c>
      <c r="BD54">
        <v>126</v>
      </c>
      <c r="BE54" t="s">
        <v>1139</v>
      </c>
      <c r="BF54" t="str">
        <f>HYPERLINK("http://dx.doi.org/10.1007/s10681-019-2447-9","http://dx.doi.org/10.1007/s10681-019-2447-9")</f>
        <v>http://dx.doi.org/10.1007/s10681-019-2447-9</v>
      </c>
      <c r="BG54" t="s">
        <v>16</v>
      </c>
      <c r="BH54" t="s">
        <v>16</v>
      </c>
      <c r="BI54">
        <v>18</v>
      </c>
      <c r="BJ54" t="s">
        <v>296</v>
      </c>
      <c r="BK54" t="s">
        <v>73</v>
      </c>
      <c r="BL54" t="s">
        <v>94</v>
      </c>
      <c r="BM54" t="s">
        <v>1140</v>
      </c>
      <c r="BN54" t="s">
        <v>16</v>
      </c>
      <c r="BO54" t="s">
        <v>16</v>
      </c>
      <c r="BP54" t="s">
        <v>16</v>
      </c>
      <c r="BQ54" t="s">
        <v>16</v>
      </c>
      <c r="BR54" t="s">
        <v>44</v>
      </c>
      <c r="BS54" t="s">
        <v>1141</v>
      </c>
      <c r="BT54" t="str">
        <f>HYPERLINK("https%3A%2F%2Fwww.webofscience.com%2Fwos%2Fwoscc%2Ffull-record%2FWOS:000472499600002","View Full Record in Web of Science")</f>
        <v>View Full Record in Web of Science</v>
      </c>
    </row>
    <row r="55" spans="1:72" x14ac:dyDescent="0.2">
      <c r="A55" t="s">
        <v>46</v>
      </c>
      <c r="B55" t="s">
        <v>1142</v>
      </c>
      <c r="C55" t="s">
        <v>16</v>
      </c>
      <c r="D55" t="s">
        <v>16</v>
      </c>
      <c r="E55" t="s">
        <v>16</v>
      </c>
      <c r="F55" t="s">
        <v>1143</v>
      </c>
      <c r="G55" t="s">
        <v>16</v>
      </c>
      <c r="H55" t="s">
        <v>16</v>
      </c>
      <c r="I55" t="s">
        <v>1144</v>
      </c>
      <c r="J55" t="s">
        <v>1145</v>
      </c>
      <c r="K55" t="s">
        <v>16</v>
      </c>
      <c r="L55" t="s">
        <v>16</v>
      </c>
      <c r="M55" t="s">
        <v>22</v>
      </c>
      <c r="N55" t="s">
        <v>51</v>
      </c>
      <c r="O55" t="s">
        <v>16</v>
      </c>
      <c r="P55" t="s">
        <v>16</v>
      </c>
      <c r="Q55" t="s">
        <v>16</v>
      </c>
      <c r="R55" t="s">
        <v>16</v>
      </c>
      <c r="S55" t="s">
        <v>16</v>
      </c>
      <c r="T55" t="s">
        <v>1146</v>
      </c>
      <c r="U55" t="s">
        <v>1147</v>
      </c>
      <c r="V55" t="s">
        <v>1148</v>
      </c>
      <c r="W55" t="s">
        <v>1149</v>
      </c>
      <c r="X55" t="s">
        <v>1150</v>
      </c>
      <c r="Y55" t="s">
        <v>1151</v>
      </c>
      <c r="Z55" t="s">
        <v>1152</v>
      </c>
      <c r="AA55" t="s">
        <v>1153</v>
      </c>
      <c r="AB55" t="s">
        <v>1154</v>
      </c>
      <c r="AC55" t="s">
        <v>1155</v>
      </c>
      <c r="AD55" t="s">
        <v>1155</v>
      </c>
      <c r="AE55" t="s">
        <v>1156</v>
      </c>
      <c r="AF55" t="s">
        <v>16</v>
      </c>
      <c r="AG55">
        <v>45</v>
      </c>
      <c r="AH55">
        <v>19</v>
      </c>
      <c r="AI55">
        <v>22</v>
      </c>
      <c r="AJ55">
        <v>1</v>
      </c>
      <c r="AK55">
        <v>40</v>
      </c>
      <c r="AL55" t="s">
        <v>1157</v>
      </c>
      <c r="AM55" t="s">
        <v>1158</v>
      </c>
      <c r="AN55" t="s">
        <v>1159</v>
      </c>
      <c r="AO55" t="s">
        <v>1160</v>
      </c>
      <c r="AP55" t="s">
        <v>1161</v>
      </c>
      <c r="AQ55" t="s">
        <v>16</v>
      </c>
      <c r="AR55" t="s">
        <v>1162</v>
      </c>
      <c r="AS55" t="s">
        <v>1163</v>
      </c>
      <c r="AT55" t="s">
        <v>1164</v>
      </c>
      <c r="AU55">
        <v>2016</v>
      </c>
      <c r="AV55">
        <v>16</v>
      </c>
      <c r="AW55">
        <v>5</v>
      </c>
      <c r="AX55" t="s">
        <v>16</v>
      </c>
      <c r="AY55" t="s">
        <v>16</v>
      </c>
      <c r="AZ55" t="s">
        <v>16</v>
      </c>
      <c r="BA55" t="s">
        <v>16</v>
      </c>
      <c r="BB55">
        <v>1521</v>
      </c>
      <c r="BC55">
        <v>1533</v>
      </c>
      <c r="BD55" t="s">
        <v>16</v>
      </c>
      <c r="BE55" t="s">
        <v>1165</v>
      </c>
      <c r="BF55" t="str">
        <f>HYPERLINK("http://dx.doi.org/10.1007/s10113-015-0875-1","http://dx.doi.org/10.1007/s10113-015-0875-1")</f>
        <v>http://dx.doi.org/10.1007/s10113-015-0875-1</v>
      </c>
      <c r="BG55" t="s">
        <v>16</v>
      </c>
      <c r="BH55" t="s">
        <v>16</v>
      </c>
      <c r="BI55">
        <v>13</v>
      </c>
      <c r="BJ55" t="s">
        <v>296</v>
      </c>
      <c r="BK55" t="s">
        <v>190</v>
      </c>
      <c r="BL55" t="s">
        <v>1166</v>
      </c>
      <c r="BM55" t="s">
        <v>1167</v>
      </c>
      <c r="BN55" t="s">
        <v>16</v>
      </c>
      <c r="BO55" t="s">
        <v>16</v>
      </c>
      <c r="BP55" t="s">
        <v>16</v>
      </c>
      <c r="BQ55" t="s">
        <v>16</v>
      </c>
      <c r="BR55" t="s">
        <v>44</v>
      </c>
      <c r="BS55" t="s">
        <v>1168</v>
      </c>
      <c r="BT55" t="str">
        <f>HYPERLINK("https%3A%2F%2Fwww.webofscience.com%2Fwos%2Fwoscc%2Ffull-record%2FWOS:000376314400023","View Full Record in Web of Science")</f>
        <v>View Full Record in Web of Science</v>
      </c>
    </row>
    <row r="56" spans="1:72" x14ac:dyDescent="0.2">
      <c r="A56" t="s">
        <v>46</v>
      </c>
      <c r="B56" t="s">
        <v>1169</v>
      </c>
      <c r="C56" t="s">
        <v>16</v>
      </c>
      <c r="D56" t="s">
        <v>16</v>
      </c>
      <c r="E56" t="s">
        <v>16</v>
      </c>
      <c r="F56" t="s">
        <v>1170</v>
      </c>
      <c r="G56" t="s">
        <v>16</v>
      </c>
      <c r="H56" t="s">
        <v>16</v>
      </c>
      <c r="I56" t="s">
        <v>1171</v>
      </c>
      <c r="J56" t="s">
        <v>734</v>
      </c>
      <c r="K56" t="s">
        <v>16</v>
      </c>
      <c r="L56" t="s">
        <v>16</v>
      </c>
      <c r="M56" t="s">
        <v>22</v>
      </c>
      <c r="N56" t="s">
        <v>51</v>
      </c>
      <c r="O56" t="s">
        <v>16</v>
      </c>
      <c r="P56" t="s">
        <v>16</v>
      </c>
      <c r="Q56" t="s">
        <v>16</v>
      </c>
      <c r="R56" t="s">
        <v>16</v>
      </c>
      <c r="S56" t="s">
        <v>16</v>
      </c>
      <c r="T56" t="s">
        <v>1172</v>
      </c>
      <c r="U56" t="s">
        <v>1173</v>
      </c>
      <c r="V56" t="s">
        <v>1174</v>
      </c>
      <c r="W56" t="s">
        <v>1175</v>
      </c>
      <c r="X56" t="s">
        <v>1176</v>
      </c>
      <c r="Y56" t="s">
        <v>1177</v>
      </c>
      <c r="Z56" t="s">
        <v>1178</v>
      </c>
      <c r="AA56" t="s">
        <v>16</v>
      </c>
      <c r="AB56" t="s">
        <v>1179</v>
      </c>
      <c r="AC56" t="s">
        <v>1180</v>
      </c>
      <c r="AD56" t="s">
        <v>1181</v>
      </c>
      <c r="AE56" t="s">
        <v>1182</v>
      </c>
      <c r="AF56" t="s">
        <v>16</v>
      </c>
      <c r="AG56">
        <v>53</v>
      </c>
      <c r="AH56">
        <v>0</v>
      </c>
      <c r="AI56">
        <v>0</v>
      </c>
      <c r="AJ56">
        <v>5</v>
      </c>
      <c r="AK56">
        <v>5</v>
      </c>
      <c r="AL56" t="s">
        <v>745</v>
      </c>
      <c r="AM56" t="s">
        <v>746</v>
      </c>
      <c r="AN56" t="s">
        <v>747</v>
      </c>
      <c r="AO56" t="s">
        <v>748</v>
      </c>
      <c r="AP56" t="s">
        <v>16</v>
      </c>
      <c r="AQ56" t="s">
        <v>16</v>
      </c>
      <c r="AR56" t="s">
        <v>749</v>
      </c>
      <c r="AS56" t="s">
        <v>750</v>
      </c>
      <c r="AT56" t="s">
        <v>1183</v>
      </c>
      <c r="AU56">
        <v>2024</v>
      </c>
      <c r="AV56">
        <v>14</v>
      </c>
      <c r="AW56">
        <v>10</v>
      </c>
      <c r="AX56" t="s">
        <v>16</v>
      </c>
      <c r="AY56" t="s">
        <v>16</v>
      </c>
      <c r="AZ56" t="s">
        <v>16</v>
      </c>
      <c r="BA56" t="s">
        <v>16</v>
      </c>
      <c r="BB56" t="s">
        <v>16</v>
      </c>
      <c r="BC56" t="s">
        <v>16</v>
      </c>
      <c r="BD56" t="s">
        <v>16</v>
      </c>
      <c r="BE56" t="s">
        <v>1184</v>
      </c>
      <c r="BF56" t="str">
        <f>HYPERLINK("http://dx.doi.org/10.1093/g3journal/jkae199","http://dx.doi.org/10.1093/g3journal/jkae199")</f>
        <v>http://dx.doi.org/10.1093/g3journal/jkae199</v>
      </c>
      <c r="BG56" t="s">
        <v>16</v>
      </c>
      <c r="BH56" t="s">
        <v>1185</v>
      </c>
      <c r="BI56">
        <v>9</v>
      </c>
      <c r="BJ56" t="s">
        <v>339</v>
      </c>
      <c r="BK56" t="s">
        <v>73</v>
      </c>
      <c r="BL56" t="s">
        <v>339</v>
      </c>
      <c r="BM56" t="s">
        <v>1186</v>
      </c>
      <c r="BN56">
        <v>39158127</v>
      </c>
      <c r="BO56" t="s">
        <v>1187</v>
      </c>
      <c r="BP56" t="s">
        <v>16</v>
      </c>
      <c r="BQ56" t="s">
        <v>16</v>
      </c>
      <c r="BR56" t="s">
        <v>44</v>
      </c>
      <c r="BS56" t="s">
        <v>1188</v>
      </c>
      <c r="BT56" t="str">
        <f>HYPERLINK("https%3A%2F%2Fwww.webofscience.com%2Fwos%2Fwoscc%2Ffull-record%2FWOS:001307856800001","View Full Record in Web of Science")</f>
        <v>View Full Record in Web of Science</v>
      </c>
    </row>
    <row r="57" spans="1:72" x14ac:dyDescent="0.2">
      <c r="A57" t="s">
        <v>46</v>
      </c>
      <c r="B57" t="s">
        <v>1189</v>
      </c>
      <c r="C57" t="s">
        <v>16</v>
      </c>
      <c r="D57" t="s">
        <v>16</v>
      </c>
      <c r="E57" t="s">
        <v>16</v>
      </c>
      <c r="F57" t="s">
        <v>1189</v>
      </c>
      <c r="G57" t="s">
        <v>16</v>
      </c>
      <c r="H57" t="s">
        <v>16</v>
      </c>
      <c r="I57" t="s">
        <v>1190</v>
      </c>
      <c r="J57" t="s">
        <v>220</v>
      </c>
      <c r="K57" t="s">
        <v>16</v>
      </c>
      <c r="L57" t="s">
        <v>16</v>
      </c>
      <c r="M57" t="s">
        <v>22</v>
      </c>
      <c r="N57" t="s">
        <v>51</v>
      </c>
      <c r="O57" t="s">
        <v>16</v>
      </c>
      <c r="P57" t="s">
        <v>16</v>
      </c>
      <c r="Q57" t="s">
        <v>16</v>
      </c>
      <c r="R57" t="s">
        <v>16</v>
      </c>
      <c r="S57" t="s">
        <v>16</v>
      </c>
      <c r="T57" t="s">
        <v>1191</v>
      </c>
      <c r="U57" t="s">
        <v>1192</v>
      </c>
      <c r="V57" t="s">
        <v>1193</v>
      </c>
      <c r="W57" t="s">
        <v>16</v>
      </c>
      <c r="X57" t="s">
        <v>16</v>
      </c>
      <c r="Y57" t="s">
        <v>1194</v>
      </c>
      <c r="Z57" t="s">
        <v>16</v>
      </c>
      <c r="AA57" t="s">
        <v>16</v>
      </c>
      <c r="AB57" t="s">
        <v>16</v>
      </c>
      <c r="AC57" t="s">
        <v>16</v>
      </c>
      <c r="AD57" t="s">
        <v>16</v>
      </c>
      <c r="AE57" t="s">
        <v>16</v>
      </c>
      <c r="AF57" t="s">
        <v>16</v>
      </c>
      <c r="AG57">
        <v>11</v>
      </c>
      <c r="AH57">
        <v>4</v>
      </c>
      <c r="AI57">
        <v>4</v>
      </c>
      <c r="AJ57">
        <v>0</v>
      </c>
      <c r="AK57">
        <v>0</v>
      </c>
      <c r="AL57" t="s">
        <v>128</v>
      </c>
      <c r="AM57" t="s">
        <v>225</v>
      </c>
      <c r="AN57" t="s">
        <v>357</v>
      </c>
      <c r="AO57" t="s">
        <v>227</v>
      </c>
      <c r="AP57" t="s">
        <v>700</v>
      </c>
      <c r="AQ57" t="s">
        <v>16</v>
      </c>
      <c r="AR57" t="s">
        <v>220</v>
      </c>
      <c r="AS57" t="s">
        <v>228</v>
      </c>
      <c r="AT57" t="s">
        <v>16</v>
      </c>
      <c r="AU57">
        <v>1996</v>
      </c>
      <c r="AV57">
        <v>90</v>
      </c>
      <c r="AW57">
        <v>2</v>
      </c>
      <c r="AX57" t="s">
        <v>16</v>
      </c>
      <c r="AY57" t="s">
        <v>16</v>
      </c>
      <c r="AZ57" t="s">
        <v>16</v>
      </c>
      <c r="BA57" t="s">
        <v>16</v>
      </c>
      <c r="BB57">
        <v>137</v>
      </c>
      <c r="BC57">
        <v>148</v>
      </c>
      <c r="BD57" t="s">
        <v>16</v>
      </c>
      <c r="BE57" t="s">
        <v>1195</v>
      </c>
      <c r="BF57" t="str">
        <f>HYPERLINK("http://dx.doi.org/10.1007/BF00023852","http://dx.doi.org/10.1007/BF00023852")</f>
        <v>http://dx.doi.org/10.1007/BF00023852</v>
      </c>
      <c r="BG57" t="s">
        <v>16</v>
      </c>
      <c r="BH57" t="s">
        <v>16</v>
      </c>
      <c r="BI57">
        <v>12</v>
      </c>
      <c r="BJ57" t="s">
        <v>296</v>
      </c>
      <c r="BK57" t="s">
        <v>73</v>
      </c>
      <c r="BL57" t="s">
        <v>94</v>
      </c>
      <c r="BM57" t="s">
        <v>1196</v>
      </c>
      <c r="BN57" t="s">
        <v>16</v>
      </c>
      <c r="BO57" t="s">
        <v>16</v>
      </c>
      <c r="BP57" t="s">
        <v>16</v>
      </c>
      <c r="BQ57" t="s">
        <v>16</v>
      </c>
      <c r="BR57" t="s">
        <v>44</v>
      </c>
      <c r="BS57" t="s">
        <v>1197</v>
      </c>
      <c r="BT57" t="str">
        <f>HYPERLINK("https%3A%2F%2Fwww.webofscience.com%2Fwos%2Fwoscc%2Ffull-record%2FWOS:A1996VB08500003","View Full Record in Web of Science")</f>
        <v>View Full Record in Web of Science</v>
      </c>
    </row>
    <row r="58" spans="1:72" x14ac:dyDescent="0.2">
      <c r="A58" t="s">
        <v>141</v>
      </c>
      <c r="B58" t="s">
        <v>1198</v>
      </c>
      <c r="C58" t="s">
        <v>16</v>
      </c>
      <c r="D58" t="s">
        <v>1199</v>
      </c>
      <c r="E58" t="s">
        <v>16</v>
      </c>
      <c r="F58" t="s">
        <v>1198</v>
      </c>
      <c r="G58" t="s">
        <v>16</v>
      </c>
      <c r="H58" t="s">
        <v>16</v>
      </c>
      <c r="I58" t="s">
        <v>1200</v>
      </c>
      <c r="J58" t="s">
        <v>1201</v>
      </c>
      <c r="K58" t="s">
        <v>1202</v>
      </c>
      <c r="L58" t="s">
        <v>16</v>
      </c>
      <c r="M58" t="s">
        <v>22</v>
      </c>
      <c r="N58" t="s">
        <v>147</v>
      </c>
      <c r="O58" t="s">
        <v>1203</v>
      </c>
      <c r="P58" t="s">
        <v>1204</v>
      </c>
      <c r="Q58" t="s">
        <v>1205</v>
      </c>
      <c r="R58" t="s">
        <v>1206</v>
      </c>
      <c r="S58" t="s">
        <v>16</v>
      </c>
      <c r="T58" t="s">
        <v>16</v>
      </c>
      <c r="U58" t="s">
        <v>1207</v>
      </c>
      <c r="V58" t="s">
        <v>1208</v>
      </c>
      <c r="W58" t="s">
        <v>1209</v>
      </c>
      <c r="X58" t="s">
        <v>16</v>
      </c>
      <c r="Y58" t="s">
        <v>1210</v>
      </c>
      <c r="Z58" t="s">
        <v>16</v>
      </c>
      <c r="AA58" t="s">
        <v>16</v>
      </c>
      <c r="AB58" t="s">
        <v>16</v>
      </c>
      <c r="AC58" t="s">
        <v>16</v>
      </c>
      <c r="AD58" t="s">
        <v>16</v>
      </c>
      <c r="AE58" t="s">
        <v>16</v>
      </c>
      <c r="AF58" t="s">
        <v>16</v>
      </c>
      <c r="AG58">
        <v>23</v>
      </c>
      <c r="AH58">
        <v>0</v>
      </c>
      <c r="AI58">
        <v>0</v>
      </c>
      <c r="AJ58">
        <v>0</v>
      </c>
      <c r="AK58">
        <v>1</v>
      </c>
      <c r="AL58" t="s">
        <v>1211</v>
      </c>
      <c r="AM58" t="s">
        <v>1212</v>
      </c>
      <c r="AN58" t="s">
        <v>1213</v>
      </c>
      <c r="AO58" t="s">
        <v>1214</v>
      </c>
      <c r="AP58" t="s">
        <v>16</v>
      </c>
      <c r="AQ58" t="s">
        <v>1215</v>
      </c>
      <c r="AR58" t="s">
        <v>1216</v>
      </c>
      <c r="AS58" t="s">
        <v>16</v>
      </c>
      <c r="AT58" t="s">
        <v>16</v>
      </c>
      <c r="AU58">
        <v>2001</v>
      </c>
      <c r="AV58">
        <v>96</v>
      </c>
      <c r="AW58" t="s">
        <v>16</v>
      </c>
      <c r="AX58" t="s">
        <v>16</v>
      </c>
      <c r="AY58" t="s">
        <v>16</v>
      </c>
      <c r="AZ58" t="s">
        <v>16</v>
      </c>
      <c r="BA58" t="s">
        <v>16</v>
      </c>
      <c r="BB58">
        <v>73</v>
      </c>
      <c r="BC58">
        <v>80</v>
      </c>
      <c r="BD58" t="s">
        <v>16</v>
      </c>
      <c r="BE58" t="s">
        <v>16</v>
      </c>
      <c r="BF58" t="s">
        <v>16</v>
      </c>
      <c r="BG58" t="s">
        <v>16</v>
      </c>
      <c r="BH58" t="s">
        <v>16</v>
      </c>
      <c r="BI58">
        <v>8</v>
      </c>
      <c r="BJ58" t="s">
        <v>296</v>
      </c>
      <c r="BK58" t="s">
        <v>167</v>
      </c>
      <c r="BL58" t="s">
        <v>94</v>
      </c>
      <c r="BM58" t="s">
        <v>1217</v>
      </c>
      <c r="BN58" t="s">
        <v>16</v>
      </c>
      <c r="BO58" t="s">
        <v>16</v>
      </c>
      <c r="BP58" t="s">
        <v>16</v>
      </c>
      <c r="BQ58" t="s">
        <v>16</v>
      </c>
      <c r="BR58" t="s">
        <v>44</v>
      </c>
      <c r="BS58" t="s">
        <v>1218</v>
      </c>
      <c r="BT58" t="str">
        <f>HYPERLINK("https%3A%2F%2Fwww.webofscience.com%2Fwos%2Fwoscc%2Ffull-record%2FWOS:000167541400007","View Full Record in Web of Science")</f>
        <v>View Full Record in Web of Science</v>
      </c>
    </row>
    <row r="59" spans="1:72" x14ac:dyDescent="0.2">
      <c r="A59" t="s">
        <v>46</v>
      </c>
      <c r="B59" t="s">
        <v>1219</v>
      </c>
      <c r="C59" t="s">
        <v>16</v>
      </c>
      <c r="D59" t="s">
        <v>16</v>
      </c>
      <c r="E59" t="s">
        <v>16</v>
      </c>
      <c r="F59" t="s">
        <v>1220</v>
      </c>
      <c r="G59" t="s">
        <v>16</v>
      </c>
      <c r="H59" t="s">
        <v>16</v>
      </c>
      <c r="I59" t="s">
        <v>1221</v>
      </c>
      <c r="J59" t="s">
        <v>557</v>
      </c>
      <c r="K59" t="s">
        <v>16</v>
      </c>
      <c r="L59" t="s">
        <v>16</v>
      </c>
      <c r="M59" t="s">
        <v>22</v>
      </c>
      <c r="N59" t="s">
        <v>51</v>
      </c>
      <c r="O59" t="s">
        <v>16</v>
      </c>
      <c r="P59" t="s">
        <v>16</v>
      </c>
      <c r="Q59" t="s">
        <v>16</v>
      </c>
      <c r="R59" t="s">
        <v>16</v>
      </c>
      <c r="S59" t="s">
        <v>16</v>
      </c>
      <c r="T59" t="s">
        <v>1222</v>
      </c>
      <c r="U59" t="s">
        <v>1223</v>
      </c>
      <c r="V59" t="s">
        <v>1224</v>
      </c>
      <c r="W59" t="s">
        <v>1225</v>
      </c>
      <c r="X59" t="s">
        <v>1226</v>
      </c>
      <c r="Y59" t="s">
        <v>1227</v>
      </c>
      <c r="Z59" t="s">
        <v>1228</v>
      </c>
      <c r="AA59" t="s">
        <v>1229</v>
      </c>
      <c r="AB59" t="s">
        <v>1230</v>
      </c>
      <c r="AC59" t="s">
        <v>1231</v>
      </c>
      <c r="AD59" t="s">
        <v>1231</v>
      </c>
      <c r="AE59" t="s">
        <v>1232</v>
      </c>
      <c r="AF59" t="s">
        <v>16</v>
      </c>
      <c r="AG59">
        <v>24</v>
      </c>
      <c r="AH59">
        <v>9</v>
      </c>
      <c r="AI59">
        <v>9</v>
      </c>
      <c r="AJ59">
        <v>0</v>
      </c>
      <c r="AK59">
        <v>16</v>
      </c>
      <c r="AL59" t="s">
        <v>569</v>
      </c>
      <c r="AM59" t="s">
        <v>570</v>
      </c>
      <c r="AN59" t="s">
        <v>571</v>
      </c>
      <c r="AO59" t="s">
        <v>572</v>
      </c>
      <c r="AP59" t="s">
        <v>573</v>
      </c>
      <c r="AQ59" t="s">
        <v>16</v>
      </c>
      <c r="AR59" t="s">
        <v>574</v>
      </c>
      <c r="AS59" t="s">
        <v>575</v>
      </c>
      <c r="AT59" t="s">
        <v>1233</v>
      </c>
      <c r="AU59">
        <v>2020</v>
      </c>
      <c r="AV59">
        <v>115</v>
      </c>
      <c r="AW59" t="s">
        <v>16</v>
      </c>
      <c r="AX59" t="s">
        <v>16</v>
      </c>
      <c r="AY59" t="s">
        <v>16</v>
      </c>
      <c r="AZ59" t="s">
        <v>16</v>
      </c>
      <c r="BA59" t="s">
        <v>16</v>
      </c>
      <c r="BB59" t="s">
        <v>16</v>
      </c>
      <c r="BC59" t="s">
        <v>16</v>
      </c>
      <c r="BD59">
        <v>126013</v>
      </c>
      <c r="BE59" t="s">
        <v>1234</v>
      </c>
      <c r="BF59" t="str">
        <f>HYPERLINK("http://dx.doi.org/10.1016/j.eja.2020.126013","http://dx.doi.org/10.1016/j.eja.2020.126013")</f>
        <v>http://dx.doi.org/10.1016/j.eja.2020.126013</v>
      </c>
      <c r="BG59" t="s">
        <v>16</v>
      </c>
      <c r="BH59" t="s">
        <v>16</v>
      </c>
      <c r="BI59">
        <v>8</v>
      </c>
      <c r="BJ59" t="s">
        <v>40</v>
      </c>
      <c r="BK59" t="s">
        <v>73</v>
      </c>
      <c r="BL59" t="s">
        <v>42</v>
      </c>
      <c r="BM59" t="s">
        <v>1235</v>
      </c>
      <c r="BN59" t="s">
        <v>16</v>
      </c>
      <c r="BO59" t="s">
        <v>16</v>
      </c>
      <c r="BP59" t="s">
        <v>16</v>
      </c>
      <c r="BQ59" t="s">
        <v>16</v>
      </c>
      <c r="BR59" t="s">
        <v>44</v>
      </c>
      <c r="BS59" t="s">
        <v>1236</v>
      </c>
      <c r="BT59" t="str">
        <f>HYPERLINK("https%3A%2F%2Fwww.webofscience.com%2Fwos%2Fwoscc%2Ffull-record%2FWOS:000528197200006","View Full Record in Web of Science")</f>
        <v>View Full Record in Web of Science</v>
      </c>
    </row>
    <row r="60" spans="1:72" x14ac:dyDescent="0.2">
      <c r="A60" t="s">
        <v>46</v>
      </c>
      <c r="B60" t="s">
        <v>1237</v>
      </c>
      <c r="C60" t="s">
        <v>16</v>
      </c>
      <c r="D60" t="s">
        <v>16</v>
      </c>
      <c r="E60" t="s">
        <v>16</v>
      </c>
      <c r="F60" t="s">
        <v>1237</v>
      </c>
      <c r="G60" t="s">
        <v>16</v>
      </c>
      <c r="H60" t="s">
        <v>16</v>
      </c>
      <c r="I60" t="s">
        <v>1238</v>
      </c>
      <c r="J60" t="s">
        <v>557</v>
      </c>
      <c r="K60" t="s">
        <v>16</v>
      </c>
      <c r="L60" t="s">
        <v>16</v>
      </c>
      <c r="M60" t="s">
        <v>22</v>
      </c>
      <c r="N60" t="s">
        <v>51</v>
      </c>
      <c r="O60" t="s">
        <v>16</v>
      </c>
      <c r="P60" t="s">
        <v>16</v>
      </c>
      <c r="Q60" t="s">
        <v>16</v>
      </c>
      <c r="R60" t="s">
        <v>16</v>
      </c>
      <c r="S60" t="s">
        <v>16</v>
      </c>
      <c r="T60" t="s">
        <v>1239</v>
      </c>
      <c r="U60" t="s">
        <v>1240</v>
      </c>
      <c r="V60" t="s">
        <v>1241</v>
      </c>
      <c r="W60" t="s">
        <v>1242</v>
      </c>
      <c r="X60" t="s">
        <v>1243</v>
      </c>
      <c r="Y60" t="s">
        <v>1244</v>
      </c>
      <c r="Z60" t="s">
        <v>1245</v>
      </c>
      <c r="AA60" t="s">
        <v>1246</v>
      </c>
      <c r="AB60" t="s">
        <v>1247</v>
      </c>
      <c r="AC60" t="s">
        <v>16</v>
      </c>
      <c r="AD60" t="s">
        <v>16</v>
      </c>
      <c r="AE60" t="s">
        <v>16</v>
      </c>
      <c r="AF60" t="s">
        <v>16</v>
      </c>
      <c r="AG60">
        <v>27</v>
      </c>
      <c r="AH60">
        <v>26</v>
      </c>
      <c r="AI60">
        <v>27</v>
      </c>
      <c r="AJ60">
        <v>0</v>
      </c>
      <c r="AK60">
        <v>7</v>
      </c>
      <c r="AL60" t="s">
        <v>569</v>
      </c>
      <c r="AM60" t="s">
        <v>570</v>
      </c>
      <c r="AN60" t="s">
        <v>571</v>
      </c>
      <c r="AO60" t="s">
        <v>572</v>
      </c>
      <c r="AP60" t="s">
        <v>573</v>
      </c>
      <c r="AQ60" t="s">
        <v>16</v>
      </c>
      <c r="AR60" t="s">
        <v>574</v>
      </c>
      <c r="AS60" t="s">
        <v>575</v>
      </c>
      <c r="AT60" t="s">
        <v>576</v>
      </c>
      <c r="AU60">
        <v>2004</v>
      </c>
      <c r="AV60">
        <v>21</v>
      </c>
      <c r="AW60">
        <v>3</v>
      </c>
      <c r="AX60" t="s">
        <v>16</v>
      </c>
      <c r="AY60" t="s">
        <v>16</v>
      </c>
      <c r="AZ60" t="s">
        <v>16</v>
      </c>
      <c r="BA60" t="s">
        <v>16</v>
      </c>
      <c r="BB60">
        <v>297</v>
      </c>
      <c r="BC60">
        <v>310</v>
      </c>
      <c r="BD60" t="s">
        <v>16</v>
      </c>
      <c r="BE60" t="s">
        <v>1248</v>
      </c>
      <c r="BF60" t="str">
        <f>HYPERLINK("http://dx.doi.org/10.1016/j.eja.2003.10.002","http://dx.doi.org/10.1016/j.eja.2003.10.002")</f>
        <v>http://dx.doi.org/10.1016/j.eja.2003.10.002</v>
      </c>
      <c r="BG60" t="s">
        <v>16</v>
      </c>
      <c r="BH60" t="s">
        <v>16</v>
      </c>
      <c r="BI60">
        <v>14</v>
      </c>
      <c r="BJ60" t="s">
        <v>40</v>
      </c>
      <c r="BK60" t="s">
        <v>73</v>
      </c>
      <c r="BL60" t="s">
        <v>42</v>
      </c>
      <c r="BM60" t="s">
        <v>1249</v>
      </c>
      <c r="BN60" t="s">
        <v>16</v>
      </c>
      <c r="BO60" t="s">
        <v>16</v>
      </c>
      <c r="BP60" t="s">
        <v>16</v>
      </c>
      <c r="BQ60" t="s">
        <v>16</v>
      </c>
      <c r="BR60" t="s">
        <v>44</v>
      </c>
      <c r="BS60" t="s">
        <v>1250</v>
      </c>
      <c r="BT60" t="str">
        <f>HYPERLINK("https%3A%2F%2Fwww.webofscience.com%2Fwos%2Fwoscc%2Ffull-record%2FWOS:000224942500003","View Full Record in Web of Science")</f>
        <v>View Full Record in Web of Science</v>
      </c>
    </row>
    <row r="61" spans="1:72" x14ac:dyDescent="0.2">
      <c r="A61" t="s">
        <v>46</v>
      </c>
      <c r="B61" t="s">
        <v>1251</v>
      </c>
      <c r="C61" t="s">
        <v>16</v>
      </c>
      <c r="D61" t="s">
        <v>16</v>
      </c>
      <c r="E61" t="s">
        <v>16</v>
      </c>
      <c r="F61" t="s">
        <v>1252</v>
      </c>
      <c r="G61" t="s">
        <v>16</v>
      </c>
      <c r="H61" t="s">
        <v>16</v>
      </c>
      <c r="I61" t="s">
        <v>1253</v>
      </c>
      <c r="J61" t="s">
        <v>50</v>
      </c>
      <c r="K61" t="s">
        <v>16</v>
      </c>
      <c r="L61" t="s">
        <v>16</v>
      </c>
      <c r="M61" t="s">
        <v>22</v>
      </c>
      <c r="N61" t="s">
        <v>51</v>
      </c>
      <c r="O61" t="s">
        <v>16</v>
      </c>
      <c r="P61" t="s">
        <v>16</v>
      </c>
      <c r="Q61" t="s">
        <v>16</v>
      </c>
      <c r="R61" t="s">
        <v>16</v>
      </c>
      <c r="S61" t="s">
        <v>16</v>
      </c>
      <c r="T61" t="s">
        <v>16</v>
      </c>
      <c r="U61" t="s">
        <v>1254</v>
      </c>
      <c r="V61" t="s">
        <v>1255</v>
      </c>
      <c r="W61" t="s">
        <v>1256</v>
      </c>
      <c r="X61" t="s">
        <v>1257</v>
      </c>
      <c r="Y61" t="s">
        <v>1258</v>
      </c>
      <c r="Z61" t="s">
        <v>892</v>
      </c>
      <c r="AA61" t="s">
        <v>893</v>
      </c>
      <c r="AB61" t="s">
        <v>1259</v>
      </c>
      <c r="AC61" t="s">
        <v>1260</v>
      </c>
      <c r="AD61" t="s">
        <v>1261</v>
      </c>
      <c r="AE61" t="s">
        <v>1262</v>
      </c>
      <c r="AF61" t="s">
        <v>16</v>
      </c>
      <c r="AG61">
        <v>52</v>
      </c>
      <c r="AH61">
        <v>481</v>
      </c>
      <c r="AI61">
        <v>576</v>
      </c>
      <c r="AJ61">
        <v>3</v>
      </c>
      <c r="AK61">
        <v>218</v>
      </c>
      <c r="AL61" t="s">
        <v>63</v>
      </c>
      <c r="AM61" t="s">
        <v>64</v>
      </c>
      <c r="AN61" t="s">
        <v>65</v>
      </c>
      <c r="AO61" t="s">
        <v>66</v>
      </c>
      <c r="AP61" t="s">
        <v>67</v>
      </c>
      <c r="AQ61" t="s">
        <v>16</v>
      </c>
      <c r="AR61" t="s">
        <v>68</v>
      </c>
      <c r="AS61" t="s">
        <v>69</v>
      </c>
      <c r="AT61" t="s">
        <v>70</v>
      </c>
      <c r="AU61">
        <v>2012</v>
      </c>
      <c r="AV61">
        <v>52</v>
      </c>
      <c r="AW61">
        <v>1</v>
      </c>
      <c r="AX61" t="s">
        <v>16</v>
      </c>
      <c r="AY61" t="s">
        <v>16</v>
      </c>
      <c r="AZ61" t="s">
        <v>16</v>
      </c>
      <c r="BA61" t="s">
        <v>16</v>
      </c>
      <c r="BB61">
        <v>146</v>
      </c>
      <c r="BC61">
        <v>160</v>
      </c>
      <c r="BD61" t="s">
        <v>16</v>
      </c>
      <c r="BE61" t="s">
        <v>1263</v>
      </c>
      <c r="BF61" t="str">
        <f>HYPERLINK("http://dx.doi.org/10.2135/cropsci2011.06.0297","http://dx.doi.org/10.2135/cropsci2011.06.0297")</f>
        <v>http://dx.doi.org/10.2135/cropsci2011.06.0297</v>
      </c>
      <c r="BG61" t="s">
        <v>16</v>
      </c>
      <c r="BH61" t="s">
        <v>16</v>
      </c>
      <c r="BI61">
        <v>15</v>
      </c>
      <c r="BJ61" t="s">
        <v>40</v>
      </c>
      <c r="BK61" t="s">
        <v>73</v>
      </c>
      <c r="BL61" t="s">
        <v>42</v>
      </c>
      <c r="BM61" t="s">
        <v>1264</v>
      </c>
      <c r="BN61" t="s">
        <v>16</v>
      </c>
      <c r="BO61" t="s">
        <v>16</v>
      </c>
      <c r="BP61" t="s">
        <v>16</v>
      </c>
      <c r="BQ61" t="s">
        <v>16</v>
      </c>
      <c r="BR61" t="s">
        <v>44</v>
      </c>
      <c r="BS61" t="s">
        <v>1265</v>
      </c>
      <c r="BT61" t="str">
        <f>HYPERLINK("https%3A%2F%2Fwww.webofscience.com%2Fwos%2Fwoscc%2Ffull-record%2FWOS:000298289600016","View Full Record in Web of Science")</f>
        <v>View Full Record in Web of Science</v>
      </c>
    </row>
    <row r="62" spans="1:72" x14ac:dyDescent="0.2">
      <c r="A62" t="s">
        <v>46</v>
      </c>
      <c r="B62" t="s">
        <v>1266</v>
      </c>
      <c r="C62" t="s">
        <v>16</v>
      </c>
      <c r="D62" t="s">
        <v>16</v>
      </c>
      <c r="E62" t="s">
        <v>16</v>
      </c>
      <c r="F62" t="s">
        <v>1267</v>
      </c>
      <c r="G62" t="s">
        <v>16</v>
      </c>
      <c r="H62" t="s">
        <v>16</v>
      </c>
      <c r="I62" t="s">
        <v>1268</v>
      </c>
      <c r="J62" t="s">
        <v>1269</v>
      </c>
      <c r="K62" t="s">
        <v>16</v>
      </c>
      <c r="L62" t="s">
        <v>16</v>
      </c>
      <c r="M62" t="s">
        <v>22</v>
      </c>
      <c r="N62" t="s">
        <v>51</v>
      </c>
      <c r="O62" t="s">
        <v>16</v>
      </c>
      <c r="P62" t="s">
        <v>16</v>
      </c>
      <c r="Q62" t="s">
        <v>16</v>
      </c>
      <c r="R62" t="s">
        <v>16</v>
      </c>
      <c r="S62" t="s">
        <v>16</v>
      </c>
      <c r="T62" t="s">
        <v>1270</v>
      </c>
      <c r="U62" t="s">
        <v>1271</v>
      </c>
      <c r="V62" t="s">
        <v>1272</v>
      </c>
      <c r="W62" t="s">
        <v>1273</v>
      </c>
      <c r="X62" t="s">
        <v>1274</v>
      </c>
      <c r="Y62" t="s">
        <v>1275</v>
      </c>
      <c r="Z62" t="s">
        <v>1276</v>
      </c>
      <c r="AA62" t="s">
        <v>1277</v>
      </c>
      <c r="AB62" t="s">
        <v>16</v>
      </c>
      <c r="AC62" t="s">
        <v>16</v>
      </c>
      <c r="AD62" t="s">
        <v>16</v>
      </c>
      <c r="AE62" t="s">
        <v>16</v>
      </c>
      <c r="AF62" t="s">
        <v>16</v>
      </c>
      <c r="AG62">
        <v>33</v>
      </c>
      <c r="AH62">
        <v>4</v>
      </c>
      <c r="AI62">
        <v>4</v>
      </c>
      <c r="AJ62">
        <v>0</v>
      </c>
      <c r="AK62">
        <v>7</v>
      </c>
      <c r="AL62" t="s">
        <v>720</v>
      </c>
      <c r="AM62" t="s">
        <v>721</v>
      </c>
      <c r="AN62" t="s">
        <v>722</v>
      </c>
      <c r="AO62" t="s">
        <v>1278</v>
      </c>
      <c r="AP62" t="s">
        <v>1279</v>
      </c>
      <c r="AQ62" t="s">
        <v>16</v>
      </c>
      <c r="AR62" t="s">
        <v>1269</v>
      </c>
      <c r="AS62" t="s">
        <v>1280</v>
      </c>
      <c r="AT62" t="s">
        <v>318</v>
      </c>
      <c r="AU62">
        <v>2020</v>
      </c>
      <c r="AV62">
        <v>76</v>
      </c>
      <c r="AW62">
        <v>4</v>
      </c>
      <c r="AX62" t="s">
        <v>16</v>
      </c>
      <c r="AY62" t="s">
        <v>16</v>
      </c>
      <c r="AZ62" t="s">
        <v>16</v>
      </c>
      <c r="BA62" t="s">
        <v>16</v>
      </c>
      <c r="BB62">
        <v>1374</v>
      </c>
      <c r="BC62">
        <v>1382</v>
      </c>
      <c r="BD62" t="s">
        <v>16</v>
      </c>
      <c r="BE62" t="s">
        <v>1281</v>
      </c>
      <c r="BF62" t="str">
        <f>HYPERLINK("http://dx.doi.org/10.1111/biom.13216","http://dx.doi.org/10.1111/biom.13216")</f>
        <v>http://dx.doi.org/10.1111/biom.13216</v>
      </c>
      <c r="BG62" t="s">
        <v>16</v>
      </c>
      <c r="BH62" t="s">
        <v>1282</v>
      </c>
      <c r="BI62">
        <v>9</v>
      </c>
      <c r="BJ62" t="s">
        <v>296</v>
      </c>
      <c r="BK62" t="s">
        <v>73</v>
      </c>
      <c r="BL62" t="s">
        <v>961</v>
      </c>
      <c r="BM62" t="s">
        <v>1283</v>
      </c>
      <c r="BN62">
        <v>31950486</v>
      </c>
      <c r="BO62" t="s">
        <v>16</v>
      </c>
      <c r="BP62" t="s">
        <v>16</v>
      </c>
      <c r="BQ62" t="s">
        <v>16</v>
      </c>
      <c r="BR62" t="s">
        <v>44</v>
      </c>
      <c r="BS62" t="s">
        <v>1284</v>
      </c>
      <c r="BT62" t="str">
        <f>HYPERLINK("https%3A%2F%2Fwww.webofscience.com%2Fwos%2Fwoscc%2Ffull-record%2FWOS:000510173500001","View Full Record in Web of Science")</f>
        <v>View Full Record in Web of Science</v>
      </c>
    </row>
    <row r="63" spans="1:72" x14ac:dyDescent="0.2">
      <c r="A63" t="s">
        <v>46</v>
      </c>
      <c r="B63" t="s">
        <v>1285</v>
      </c>
      <c r="C63" t="s">
        <v>16</v>
      </c>
      <c r="D63" t="s">
        <v>16</v>
      </c>
      <c r="E63" t="s">
        <v>16</v>
      </c>
      <c r="F63" t="s">
        <v>1286</v>
      </c>
      <c r="G63" t="s">
        <v>16</v>
      </c>
      <c r="H63" t="s">
        <v>16</v>
      </c>
      <c r="I63" t="s">
        <v>1287</v>
      </c>
      <c r="J63" t="s">
        <v>220</v>
      </c>
      <c r="K63" t="s">
        <v>16</v>
      </c>
      <c r="L63" t="s">
        <v>16</v>
      </c>
      <c r="M63" t="s">
        <v>22</v>
      </c>
      <c r="N63" t="s">
        <v>51</v>
      </c>
      <c r="O63" t="s">
        <v>16</v>
      </c>
      <c r="P63" t="s">
        <v>16</v>
      </c>
      <c r="Q63" t="s">
        <v>16</v>
      </c>
      <c r="R63" t="s">
        <v>16</v>
      </c>
      <c r="S63" t="s">
        <v>16</v>
      </c>
      <c r="T63" t="s">
        <v>1288</v>
      </c>
      <c r="U63" t="s">
        <v>1289</v>
      </c>
      <c r="V63" t="s">
        <v>1290</v>
      </c>
      <c r="W63" t="s">
        <v>1291</v>
      </c>
      <c r="X63" t="s">
        <v>635</v>
      </c>
      <c r="Y63" t="s">
        <v>1292</v>
      </c>
      <c r="Z63" t="s">
        <v>1293</v>
      </c>
      <c r="AA63" t="s">
        <v>1294</v>
      </c>
      <c r="AB63" t="s">
        <v>1295</v>
      </c>
      <c r="AC63" t="s">
        <v>16</v>
      </c>
      <c r="AD63" t="s">
        <v>16</v>
      </c>
      <c r="AE63" t="s">
        <v>16</v>
      </c>
      <c r="AF63" t="s">
        <v>16</v>
      </c>
      <c r="AG63">
        <v>41</v>
      </c>
      <c r="AH63">
        <v>132</v>
      </c>
      <c r="AI63">
        <v>152</v>
      </c>
      <c r="AJ63">
        <v>1</v>
      </c>
      <c r="AK63">
        <v>56</v>
      </c>
      <c r="AL63" t="s">
        <v>128</v>
      </c>
      <c r="AM63" t="s">
        <v>225</v>
      </c>
      <c r="AN63" t="s">
        <v>357</v>
      </c>
      <c r="AO63" t="s">
        <v>227</v>
      </c>
      <c r="AP63" t="s">
        <v>700</v>
      </c>
      <c r="AQ63" t="s">
        <v>16</v>
      </c>
      <c r="AR63" t="s">
        <v>220</v>
      </c>
      <c r="AS63" t="s">
        <v>228</v>
      </c>
      <c r="AT63" t="s">
        <v>464</v>
      </c>
      <c r="AU63">
        <v>2008</v>
      </c>
      <c r="AV63">
        <v>161</v>
      </c>
      <c r="AW63" t="s">
        <v>1296</v>
      </c>
      <c r="AX63" t="s">
        <v>16</v>
      </c>
      <c r="AY63" t="s">
        <v>16</v>
      </c>
      <c r="AZ63" t="s">
        <v>16</v>
      </c>
      <c r="BA63" t="s">
        <v>16</v>
      </c>
      <c r="BB63">
        <v>195</v>
      </c>
      <c r="BC63">
        <v>208</v>
      </c>
      <c r="BD63" t="s">
        <v>16</v>
      </c>
      <c r="BE63" t="s">
        <v>1297</v>
      </c>
      <c r="BF63" t="str">
        <f>HYPERLINK("http://dx.doi.org/10.1007/s10681-007-9623-z","http://dx.doi.org/10.1007/s10681-007-9623-z")</f>
        <v>http://dx.doi.org/10.1007/s10681-007-9623-z</v>
      </c>
      <c r="BG63" t="s">
        <v>16</v>
      </c>
      <c r="BH63" t="s">
        <v>16</v>
      </c>
      <c r="BI63">
        <v>14</v>
      </c>
      <c r="BJ63" t="s">
        <v>296</v>
      </c>
      <c r="BK63" t="s">
        <v>73</v>
      </c>
      <c r="BL63" t="s">
        <v>94</v>
      </c>
      <c r="BM63" t="s">
        <v>1298</v>
      </c>
      <c r="BN63" t="s">
        <v>16</v>
      </c>
      <c r="BO63" t="s">
        <v>16</v>
      </c>
      <c r="BP63" t="s">
        <v>16</v>
      </c>
      <c r="BQ63" t="s">
        <v>16</v>
      </c>
      <c r="BR63" t="s">
        <v>44</v>
      </c>
      <c r="BS63" t="s">
        <v>1299</v>
      </c>
      <c r="BT63" t="str">
        <f>HYPERLINK("https%3A%2F%2Fwww.webofscience.com%2Fwos%2Fwoscc%2Ffull-record%2FWOS:000254877800018","View Full Record in Web of Science")</f>
        <v>View Full Record in Web of Science</v>
      </c>
    </row>
    <row r="64" spans="1:72" x14ac:dyDescent="0.2">
      <c r="A64" t="s">
        <v>46</v>
      </c>
      <c r="B64" t="s">
        <v>1300</v>
      </c>
      <c r="C64" t="s">
        <v>16</v>
      </c>
      <c r="D64" t="s">
        <v>16</v>
      </c>
      <c r="E64" t="s">
        <v>16</v>
      </c>
      <c r="F64" t="s">
        <v>1300</v>
      </c>
      <c r="G64" t="s">
        <v>16</v>
      </c>
      <c r="H64" t="s">
        <v>16</v>
      </c>
      <c r="I64" t="s">
        <v>1301</v>
      </c>
      <c r="J64" t="s">
        <v>1302</v>
      </c>
      <c r="K64" t="s">
        <v>16</v>
      </c>
      <c r="L64" t="s">
        <v>16</v>
      </c>
      <c r="M64" t="s">
        <v>22</v>
      </c>
      <c r="N64" t="s">
        <v>51</v>
      </c>
      <c r="O64" t="s">
        <v>16</v>
      </c>
      <c r="P64" t="s">
        <v>16</v>
      </c>
      <c r="Q64" t="s">
        <v>16</v>
      </c>
      <c r="R64" t="s">
        <v>16</v>
      </c>
      <c r="S64" t="s">
        <v>16</v>
      </c>
      <c r="T64" t="s">
        <v>1303</v>
      </c>
      <c r="U64" t="s">
        <v>1304</v>
      </c>
      <c r="V64" t="s">
        <v>1305</v>
      </c>
      <c r="W64" t="s">
        <v>1306</v>
      </c>
      <c r="X64" t="s">
        <v>103</v>
      </c>
      <c r="Y64" t="s">
        <v>1307</v>
      </c>
      <c r="Z64" t="s">
        <v>331</v>
      </c>
      <c r="AA64" t="s">
        <v>16</v>
      </c>
      <c r="AB64" t="s">
        <v>106</v>
      </c>
      <c r="AC64" t="s">
        <v>16</v>
      </c>
      <c r="AD64" t="s">
        <v>16</v>
      </c>
      <c r="AE64" t="s">
        <v>16</v>
      </c>
      <c r="AF64" t="s">
        <v>16</v>
      </c>
      <c r="AG64">
        <v>13</v>
      </c>
      <c r="AH64">
        <v>10</v>
      </c>
      <c r="AI64">
        <v>10</v>
      </c>
      <c r="AJ64">
        <v>0</v>
      </c>
      <c r="AK64">
        <v>3</v>
      </c>
      <c r="AL64" t="s">
        <v>595</v>
      </c>
      <c r="AM64" t="s">
        <v>596</v>
      </c>
      <c r="AN64" t="s">
        <v>597</v>
      </c>
      <c r="AO64" t="s">
        <v>1308</v>
      </c>
      <c r="AP64" t="s">
        <v>1309</v>
      </c>
      <c r="AQ64" t="s">
        <v>16</v>
      </c>
      <c r="AR64" t="s">
        <v>1310</v>
      </c>
      <c r="AS64" t="s">
        <v>1311</v>
      </c>
      <c r="AT64" t="s">
        <v>135</v>
      </c>
      <c r="AU64">
        <v>2005</v>
      </c>
      <c r="AV64">
        <v>59</v>
      </c>
      <c r="AW64">
        <v>4</v>
      </c>
      <c r="AX64" t="s">
        <v>16</v>
      </c>
      <c r="AY64" t="s">
        <v>16</v>
      </c>
      <c r="AZ64" t="s">
        <v>16</v>
      </c>
      <c r="BA64" t="s">
        <v>16</v>
      </c>
      <c r="BB64">
        <v>292</v>
      </c>
      <c r="BC64">
        <v>300</v>
      </c>
      <c r="BD64" t="s">
        <v>16</v>
      </c>
      <c r="BE64" t="s">
        <v>1312</v>
      </c>
      <c r="BF64" t="str">
        <f>HYPERLINK("http://dx.doi.org/10.1198/000313005X70605","http://dx.doi.org/10.1198/000313005X70605")</f>
        <v>http://dx.doi.org/10.1198/000313005X70605</v>
      </c>
      <c r="BG64" t="s">
        <v>16</v>
      </c>
      <c r="BH64" t="s">
        <v>16</v>
      </c>
      <c r="BI64">
        <v>9</v>
      </c>
      <c r="BJ64" t="s">
        <v>1313</v>
      </c>
      <c r="BK64" t="s">
        <v>73</v>
      </c>
      <c r="BL64" t="s">
        <v>168</v>
      </c>
      <c r="BM64" t="s">
        <v>1314</v>
      </c>
      <c r="BN64" t="s">
        <v>16</v>
      </c>
      <c r="BO64" t="s">
        <v>16</v>
      </c>
      <c r="BP64" t="s">
        <v>16</v>
      </c>
      <c r="BQ64" t="s">
        <v>16</v>
      </c>
      <c r="BR64" t="s">
        <v>44</v>
      </c>
      <c r="BS64" t="s">
        <v>1315</v>
      </c>
      <c r="BT64" t="str">
        <f>HYPERLINK("https%3A%2F%2Fwww.webofscience.com%2Fwos%2Fwoscc%2Ffull-record%2FWOS:000232812200004","View Full Record in Web of Science")</f>
        <v>View Full Record in Web of Science</v>
      </c>
    </row>
    <row r="65" spans="1:72" x14ac:dyDescent="0.2">
      <c r="A65" t="s">
        <v>46</v>
      </c>
      <c r="B65" t="s">
        <v>1316</v>
      </c>
      <c r="C65" t="s">
        <v>16</v>
      </c>
      <c r="D65" t="s">
        <v>16</v>
      </c>
      <c r="E65" t="s">
        <v>16</v>
      </c>
      <c r="F65" t="s">
        <v>1316</v>
      </c>
      <c r="G65" t="s">
        <v>16</v>
      </c>
      <c r="H65" t="s">
        <v>16</v>
      </c>
      <c r="I65" t="s">
        <v>1317</v>
      </c>
      <c r="J65" t="s">
        <v>1318</v>
      </c>
      <c r="K65" t="s">
        <v>16</v>
      </c>
      <c r="L65" t="s">
        <v>16</v>
      </c>
      <c r="M65" t="s">
        <v>22</v>
      </c>
      <c r="N65" t="s">
        <v>51</v>
      </c>
      <c r="O65" t="s">
        <v>16</v>
      </c>
      <c r="P65" t="s">
        <v>16</v>
      </c>
      <c r="Q65" t="s">
        <v>16</v>
      </c>
      <c r="R65" t="s">
        <v>16</v>
      </c>
      <c r="S65" t="s">
        <v>16</v>
      </c>
      <c r="T65" t="s">
        <v>1319</v>
      </c>
      <c r="U65" t="s">
        <v>16</v>
      </c>
      <c r="V65" t="s">
        <v>1320</v>
      </c>
      <c r="W65" t="s">
        <v>1321</v>
      </c>
      <c r="X65" t="s">
        <v>1322</v>
      </c>
      <c r="Y65" t="s">
        <v>16</v>
      </c>
      <c r="Z65" t="s">
        <v>16</v>
      </c>
      <c r="AA65" t="s">
        <v>16</v>
      </c>
      <c r="AB65" t="s">
        <v>16</v>
      </c>
      <c r="AC65" t="s">
        <v>16</v>
      </c>
      <c r="AD65" t="s">
        <v>16</v>
      </c>
      <c r="AE65" t="s">
        <v>16</v>
      </c>
      <c r="AF65" t="s">
        <v>16</v>
      </c>
      <c r="AG65">
        <v>8</v>
      </c>
      <c r="AH65">
        <v>1</v>
      </c>
      <c r="AI65">
        <v>1</v>
      </c>
      <c r="AJ65">
        <v>0</v>
      </c>
      <c r="AK65">
        <v>1</v>
      </c>
      <c r="AL65" t="s">
        <v>1323</v>
      </c>
      <c r="AM65" t="s">
        <v>570</v>
      </c>
      <c r="AN65" t="s">
        <v>1324</v>
      </c>
      <c r="AO65" t="s">
        <v>1325</v>
      </c>
      <c r="AP65" t="s">
        <v>16</v>
      </c>
      <c r="AQ65" t="s">
        <v>16</v>
      </c>
      <c r="AR65" t="s">
        <v>1326</v>
      </c>
      <c r="AS65" t="s">
        <v>1327</v>
      </c>
      <c r="AT65" t="s">
        <v>1328</v>
      </c>
      <c r="AU65">
        <v>1996</v>
      </c>
      <c r="AV65">
        <v>54</v>
      </c>
      <c r="AW65">
        <v>3</v>
      </c>
      <c r="AX65" t="s">
        <v>16</v>
      </c>
      <c r="AY65" t="s">
        <v>16</v>
      </c>
      <c r="AZ65" t="s">
        <v>16</v>
      </c>
      <c r="BA65" t="s">
        <v>16</v>
      </c>
      <c r="BB65">
        <v>323</v>
      </c>
      <c r="BC65">
        <v>344</v>
      </c>
      <c r="BD65" t="s">
        <v>16</v>
      </c>
      <c r="BE65" t="s">
        <v>1329</v>
      </c>
      <c r="BF65" t="str">
        <f>HYPERLINK("http://dx.doi.org/10.1016/0378-3758(95)00176-X","http://dx.doi.org/10.1016/0378-3758(95)00176-X")</f>
        <v>http://dx.doi.org/10.1016/0378-3758(95)00176-X</v>
      </c>
      <c r="BG65" t="s">
        <v>16</v>
      </c>
      <c r="BH65" t="s">
        <v>16</v>
      </c>
      <c r="BI65">
        <v>22</v>
      </c>
      <c r="BJ65" t="s">
        <v>1313</v>
      </c>
      <c r="BK65" t="s">
        <v>73</v>
      </c>
      <c r="BL65" t="s">
        <v>168</v>
      </c>
      <c r="BM65" t="s">
        <v>1330</v>
      </c>
      <c r="BN65" t="s">
        <v>16</v>
      </c>
      <c r="BO65" t="s">
        <v>16</v>
      </c>
      <c r="BP65" t="s">
        <v>16</v>
      </c>
      <c r="BQ65" t="s">
        <v>16</v>
      </c>
      <c r="BR65" t="s">
        <v>44</v>
      </c>
      <c r="BS65" t="s">
        <v>1331</v>
      </c>
      <c r="BT65" t="str">
        <f>HYPERLINK("https%3A%2F%2Fwww.webofscience.com%2Fwos%2Fwoscc%2Ffull-record%2FWOS:A1996VD38800006","View Full Record in Web of Science")</f>
        <v>View Full Record in Web of Science</v>
      </c>
    </row>
    <row r="66" spans="1:72" x14ac:dyDescent="0.2">
      <c r="A66" t="s">
        <v>46</v>
      </c>
      <c r="B66" t="s">
        <v>1332</v>
      </c>
      <c r="C66" t="s">
        <v>16</v>
      </c>
      <c r="D66" t="s">
        <v>16</v>
      </c>
      <c r="E66" t="s">
        <v>16</v>
      </c>
      <c r="F66" t="s">
        <v>1333</v>
      </c>
      <c r="G66" t="s">
        <v>16</v>
      </c>
      <c r="H66" t="s">
        <v>16</v>
      </c>
      <c r="I66" t="s">
        <v>1334</v>
      </c>
      <c r="J66" t="s">
        <v>1335</v>
      </c>
      <c r="K66" t="s">
        <v>16</v>
      </c>
      <c r="L66" t="s">
        <v>16</v>
      </c>
      <c r="M66" t="s">
        <v>22</v>
      </c>
      <c r="N66" t="s">
        <v>51</v>
      </c>
      <c r="O66" t="s">
        <v>16</v>
      </c>
      <c r="P66" t="s">
        <v>16</v>
      </c>
      <c r="Q66" t="s">
        <v>16</v>
      </c>
      <c r="R66" t="s">
        <v>16</v>
      </c>
      <c r="S66" t="s">
        <v>16</v>
      </c>
      <c r="T66" t="s">
        <v>16</v>
      </c>
      <c r="U66" t="s">
        <v>1336</v>
      </c>
      <c r="V66" t="s">
        <v>1337</v>
      </c>
      <c r="W66" t="s">
        <v>1338</v>
      </c>
      <c r="X66" t="s">
        <v>1339</v>
      </c>
      <c r="Y66" t="s">
        <v>1340</v>
      </c>
      <c r="Z66" t="s">
        <v>1341</v>
      </c>
      <c r="AA66" t="s">
        <v>16</v>
      </c>
      <c r="AB66" t="s">
        <v>1342</v>
      </c>
      <c r="AC66" t="s">
        <v>1343</v>
      </c>
      <c r="AD66" t="s">
        <v>1344</v>
      </c>
      <c r="AE66" t="s">
        <v>1345</v>
      </c>
      <c r="AF66" t="s">
        <v>16</v>
      </c>
      <c r="AG66">
        <v>46</v>
      </c>
      <c r="AH66">
        <v>4</v>
      </c>
      <c r="AI66">
        <v>4</v>
      </c>
      <c r="AJ66">
        <v>3</v>
      </c>
      <c r="AK66">
        <v>15</v>
      </c>
      <c r="AL66" t="s">
        <v>288</v>
      </c>
      <c r="AM66" t="s">
        <v>289</v>
      </c>
      <c r="AN66" t="s">
        <v>290</v>
      </c>
      <c r="AO66" t="s">
        <v>16</v>
      </c>
      <c r="AP66" t="s">
        <v>1346</v>
      </c>
      <c r="AQ66" t="s">
        <v>16</v>
      </c>
      <c r="AR66" t="s">
        <v>1347</v>
      </c>
      <c r="AS66" t="s">
        <v>1348</v>
      </c>
      <c r="AT66" t="s">
        <v>1349</v>
      </c>
      <c r="AU66">
        <v>2022</v>
      </c>
      <c r="AV66">
        <v>5</v>
      </c>
      <c r="AW66">
        <v>1</v>
      </c>
      <c r="AX66" t="s">
        <v>16</v>
      </c>
      <c r="AY66" t="s">
        <v>16</v>
      </c>
      <c r="AZ66" t="s">
        <v>16</v>
      </c>
      <c r="BA66" t="s">
        <v>16</v>
      </c>
      <c r="BB66" t="s">
        <v>16</v>
      </c>
      <c r="BC66" t="s">
        <v>16</v>
      </c>
      <c r="BD66">
        <v>1167</v>
      </c>
      <c r="BE66" t="s">
        <v>1350</v>
      </c>
      <c r="BF66" t="str">
        <f>HYPERLINK("http://dx.doi.org/10.1038/s42003-022-04151-9","http://dx.doi.org/10.1038/s42003-022-04151-9")</f>
        <v>http://dx.doi.org/10.1038/s42003-022-04151-9</v>
      </c>
      <c r="BG66" t="s">
        <v>16</v>
      </c>
      <c r="BH66" t="s">
        <v>16</v>
      </c>
      <c r="BI66">
        <v>11</v>
      </c>
      <c r="BJ66" t="s">
        <v>296</v>
      </c>
      <c r="BK66" t="s">
        <v>73</v>
      </c>
      <c r="BL66" t="s">
        <v>1351</v>
      </c>
      <c r="BM66" t="s">
        <v>1352</v>
      </c>
      <c r="BN66">
        <v>36323773</v>
      </c>
      <c r="BO66" t="s">
        <v>511</v>
      </c>
      <c r="BP66" t="s">
        <v>16</v>
      </c>
      <c r="BQ66" t="s">
        <v>16</v>
      </c>
      <c r="BR66" t="s">
        <v>44</v>
      </c>
      <c r="BS66" t="s">
        <v>1353</v>
      </c>
      <c r="BT66" t="str">
        <f>HYPERLINK("https%3A%2F%2Fwww.webofscience.com%2Fwos%2Fwoscc%2Ffull-record%2FWOS:000878203400001","View Full Record in Web of Science")</f>
        <v>View Full Record in Web of Science</v>
      </c>
    </row>
    <row r="67" spans="1:72" x14ac:dyDescent="0.2">
      <c r="A67" t="s">
        <v>46</v>
      </c>
      <c r="B67" t="s">
        <v>1354</v>
      </c>
      <c r="C67" t="s">
        <v>16</v>
      </c>
      <c r="D67" t="s">
        <v>16</v>
      </c>
      <c r="E67" t="s">
        <v>16</v>
      </c>
      <c r="F67" t="s">
        <v>1355</v>
      </c>
      <c r="G67" t="s">
        <v>16</v>
      </c>
      <c r="H67" t="s">
        <v>16</v>
      </c>
      <c r="I67" t="s">
        <v>1356</v>
      </c>
      <c r="J67" t="s">
        <v>50</v>
      </c>
      <c r="K67" t="s">
        <v>16</v>
      </c>
      <c r="L67" t="s">
        <v>16</v>
      </c>
      <c r="M67" t="s">
        <v>22</v>
      </c>
      <c r="N67" t="s">
        <v>51</v>
      </c>
      <c r="O67" t="s">
        <v>16</v>
      </c>
      <c r="P67" t="s">
        <v>16</v>
      </c>
      <c r="Q67" t="s">
        <v>16</v>
      </c>
      <c r="R67" t="s">
        <v>16</v>
      </c>
      <c r="S67" t="s">
        <v>16</v>
      </c>
      <c r="T67" t="s">
        <v>16</v>
      </c>
      <c r="U67" t="s">
        <v>1357</v>
      </c>
      <c r="V67" t="s">
        <v>1358</v>
      </c>
      <c r="W67" t="s">
        <v>1359</v>
      </c>
      <c r="X67" t="s">
        <v>1360</v>
      </c>
      <c r="Y67" t="s">
        <v>1361</v>
      </c>
      <c r="Z67" t="s">
        <v>1362</v>
      </c>
      <c r="AA67" t="s">
        <v>1363</v>
      </c>
      <c r="AB67" t="s">
        <v>1364</v>
      </c>
      <c r="AC67" t="s">
        <v>1365</v>
      </c>
      <c r="AD67" t="s">
        <v>1366</v>
      </c>
      <c r="AE67" t="s">
        <v>1367</v>
      </c>
      <c r="AF67" t="s">
        <v>16</v>
      </c>
      <c r="AG67">
        <v>29</v>
      </c>
      <c r="AH67">
        <v>3</v>
      </c>
      <c r="AI67">
        <v>3</v>
      </c>
      <c r="AJ67">
        <v>1</v>
      </c>
      <c r="AK67">
        <v>6</v>
      </c>
      <c r="AL67" t="s">
        <v>63</v>
      </c>
      <c r="AM67" t="s">
        <v>64</v>
      </c>
      <c r="AN67" t="s">
        <v>65</v>
      </c>
      <c r="AO67" t="s">
        <v>66</v>
      </c>
      <c r="AP67" t="s">
        <v>67</v>
      </c>
      <c r="AQ67" t="s">
        <v>16</v>
      </c>
      <c r="AR67" t="s">
        <v>68</v>
      </c>
      <c r="AS67" t="s">
        <v>69</v>
      </c>
      <c r="AT67" t="s">
        <v>1368</v>
      </c>
      <c r="AU67">
        <v>2020</v>
      </c>
      <c r="AV67">
        <v>60</v>
      </c>
      <c r="AW67">
        <v>6</v>
      </c>
      <c r="AX67" t="s">
        <v>16</v>
      </c>
      <c r="AY67" t="s">
        <v>16</v>
      </c>
      <c r="AZ67" t="s">
        <v>16</v>
      </c>
      <c r="BA67" t="s">
        <v>16</v>
      </c>
      <c r="BB67">
        <v>3083</v>
      </c>
      <c r="BC67">
        <v>3095</v>
      </c>
      <c r="BD67" t="s">
        <v>16</v>
      </c>
      <c r="BE67" t="s">
        <v>1369</v>
      </c>
      <c r="BF67" t="str">
        <f>HYPERLINK("http://dx.doi.org/10.1002/csc2.20257","http://dx.doi.org/10.1002/csc2.20257")</f>
        <v>http://dx.doi.org/10.1002/csc2.20257</v>
      </c>
      <c r="BG67" t="s">
        <v>16</v>
      </c>
      <c r="BH67" t="s">
        <v>16</v>
      </c>
      <c r="BI67">
        <v>13</v>
      </c>
      <c r="BJ67" t="s">
        <v>40</v>
      </c>
      <c r="BK67" t="s">
        <v>73</v>
      </c>
      <c r="BL67" t="s">
        <v>42</v>
      </c>
      <c r="BM67" t="s">
        <v>1370</v>
      </c>
      <c r="BN67" t="s">
        <v>16</v>
      </c>
      <c r="BO67" t="s">
        <v>16</v>
      </c>
      <c r="BP67" t="s">
        <v>16</v>
      </c>
      <c r="BQ67" t="s">
        <v>16</v>
      </c>
      <c r="BR67" t="s">
        <v>44</v>
      </c>
      <c r="BS67" t="s">
        <v>1371</v>
      </c>
      <c r="BT67" t="str">
        <f>HYPERLINK("https%3A%2F%2Fwww.webofscience.com%2Fwos%2Fwoscc%2Ffull-record%2FWOS:000615988600019","View Full Record in Web of Science")</f>
        <v>View Full Record in Web of Science</v>
      </c>
    </row>
    <row r="68" spans="1:72" x14ac:dyDescent="0.2">
      <c r="A68" t="s">
        <v>46</v>
      </c>
      <c r="B68" t="s">
        <v>1372</v>
      </c>
      <c r="C68" t="s">
        <v>16</v>
      </c>
      <c r="D68" t="s">
        <v>16</v>
      </c>
      <c r="E68" t="s">
        <v>16</v>
      </c>
      <c r="F68" t="s">
        <v>1373</v>
      </c>
      <c r="G68" t="s">
        <v>16</v>
      </c>
      <c r="H68" t="s">
        <v>16</v>
      </c>
      <c r="I68" t="s">
        <v>1374</v>
      </c>
      <c r="J68" t="s">
        <v>50</v>
      </c>
      <c r="K68" t="s">
        <v>16</v>
      </c>
      <c r="L68" t="s">
        <v>16</v>
      </c>
      <c r="M68" t="s">
        <v>22</v>
      </c>
      <c r="N68" t="s">
        <v>118</v>
      </c>
      <c r="O68" t="s">
        <v>16</v>
      </c>
      <c r="P68" t="s">
        <v>16</v>
      </c>
      <c r="Q68" t="s">
        <v>16</v>
      </c>
      <c r="R68" t="s">
        <v>16</v>
      </c>
      <c r="S68" t="s">
        <v>16</v>
      </c>
      <c r="T68" t="s">
        <v>16</v>
      </c>
      <c r="U68" t="s">
        <v>1375</v>
      </c>
      <c r="V68" t="s">
        <v>1376</v>
      </c>
      <c r="W68" t="s">
        <v>1377</v>
      </c>
      <c r="X68" t="s">
        <v>1257</v>
      </c>
      <c r="Y68" t="s">
        <v>1378</v>
      </c>
      <c r="Z68" t="s">
        <v>1379</v>
      </c>
      <c r="AA68" t="s">
        <v>893</v>
      </c>
      <c r="AB68" t="s">
        <v>1259</v>
      </c>
      <c r="AC68" t="s">
        <v>1380</v>
      </c>
      <c r="AD68" t="s">
        <v>1381</v>
      </c>
      <c r="AE68" t="s">
        <v>1382</v>
      </c>
      <c r="AF68" t="s">
        <v>16</v>
      </c>
      <c r="AG68">
        <v>87</v>
      </c>
      <c r="AH68">
        <v>173</v>
      </c>
      <c r="AI68">
        <v>206</v>
      </c>
      <c r="AJ68">
        <v>4</v>
      </c>
      <c r="AK68">
        <v>139</v>
      </c>
      <c r="AL68" t="s">
        <v>63</v>
      </c>
      <c r="AM68" t="s">
        <v>64</v>
      </c>
      <c r="AN68" t="s">
        <v>65</v>
      </c>
      <c r="AO68" t="s">
        <v>66</v>
      </c>
      <c r="AP68" t="s">
        <v>67</v>
      </c>
      <c r="AQ68" t="s">
        <v>16</v>
      </c>
      <c r="AR68" t="s">
        <v>68</v>
      </c>
      <c r="AS68" t="s">
        <v>69</v>
      </c>
      <c r="AT68" t="s">
        <v>187</v>
      </c>
      <c r="AU68">
        <v>2015</v>
      </c>
      <c r="AV68">
        <v>55</v>
      </c>
      <c r="AW68">
        <v>1</v>
      </c>
      <c r="AX68" t="s">
        <v>16</v>
      </c>
      <c r="AY68" t="s">
        <v>16</v>
      </c>
      <c r="AZ68" t="s">
        <v>16</v>
      </c>
      <c r="BA68" t="s">
        <v>16</v>
      </c>
      <c r="BB68">
        <v>1</v>
      </c>
      <c r="BC68">
        <v>12</v>
      </c>
      <c r="BD68" t="s">
        <v>16</v>
      </c>
      <c r="BE68" t="s">
        <v>1383</v>
      </c>
      <c r="BF68" t="str">
        <f>HYPERLINK("http://dx.doi.org/10.2135/cropsci2014.03.0249","http://dx.doi.org/10.2135/cropsci2014.03.0249")</f>
        <v>http://dx.doi.org/10.2135/cropsci2014.03.0249</v>
      </c>
      <c r="BG68" t="s">
        <v>16</v>
      </c>
      <c r="BH68" t="s">
        <v>16</v>
      </c>
      <c r="BI68">
        <v>12</v>
      </c>
      <c r="BJ68" t="s">
        <v>40</v>
      </c>
      <c r="BK68" t="s">
        <v>73</v>
      </c>
      <c r="BL68" t="s">
        <v>42</v>
      </c>
      <c r="BM68" t="s">
        <v>1384</v>
      </c>
      <c r="BN68" t="s">
        <v>16</v>
      </c>
      <c r="BO68" t="s">
        <v>666</v>
      </c>
      <c r="BP68" t="s">
        <v>16</v>
      </c>
      <c r="BQ68" t="s">
        <v>16</v>
      </c>
      <c r="BR68" t="s">
        <v>44</v>
      </c>
      <c r="BS68" t="s">
        <v>1385</v>
      </c>
      <c r="BT68" t="str">
        <f>HYPERLINK("https%3A%2F%2Fwww.webofscience.com%2Fwos%2Fwoscc%2Ffull-record%2FWOS:000351997300001","View Full Record in Web of Science")</f>
        <v>View Full Record in Web of Science</v>
      </c>
    </row>
    <row r="69" spans="1:72" x14ac:dyDescent="0.2">
      <c r="A69" t="s">
        <v>46</v>
      </c>
      <c r="B69" t="s">
        <v>1386</v>
      </c>
      <c r="C69" t="s">
        <v>16</v>
      </c>
      <c r="D69" t="s">
        <v>16</v>
      </c>
      <c r="E69" t="s">
        <v>16</v>
      </c>
      <c r="F69" t="s">
        <v>1387</v>
      </c>
      <c r="G69" t="s">
        <v>16</v>
      </c>
      <c r="H69" t="s">
        <v>16</v>
      </c>
      <c r="I69" t="s">
        <v>1388</v>
      </c>
      <c r="J69" t="s">
        <v>1389</v>
      </c>
      <c r="K69" t="s">
        <v>16</v>
      </c>
      <c r="L69" t="s">
        <v>16</v>
      </c>
      <c r="M69" t="s">
        <v>22</v>
      </c>
      <c r="N69" t="s">
        <v>51</v>
      </c>
      <c r="O69" t="s">
        <v>16</v>
      </c>
      <c r="P69" t="s">
        <v>16</v>
      </c>
      <c r="Q69" t="s">
        <v>16</v>
      </c>
      <c r="R69" t="s">
        <v>16</v>
      </c>
      <c r="S69" t="s">
        <v>16</v>
      </c>
      <c r="T69" t="s">
        <v>1390</v>
      </c>
      <c r="U69" t="s">
        <v>1391</v>
      </c>
      <c r="V69" t="s">
        <v>1392</v>
      </c>
      <c r="W69" t="s">
        <v>1393</v>
      </c>
      <c r="X69" t="s">
        <v>613</v>
      </c>
      <c r="Y69" t="s">
        <v>1394</v>
      </c>
      <c r="Z69" t="s">
        <v>1395</v>
      </c>
      <c r="AA69" t="s">
        <v>1396</v>
      </c>
      <c r="AB69" t="s">
        <v>1397</v>
      </c>
      <c r="AC69" t="s">
        <v>1398</v>
      </c>
      <c r="AD69" t="s">
        <v>1399</v>
      </c>
      <c r="AE69" t="s">
        <v>1400</v>
      </c>
      <c r="AF69" t="s">
        <v>16</v>
      </c>
      <c r="AG69">
        <v>10</v>
      </c>
      <c r="AH69">
        <v>43</v>
      </c>
      <c r="AI69">
        <v>44</v>
      </c>
      <c r="AJ69">
        <v>2</v>
      </c>
      <c r="AK69">
        <v>19</v>
      </c>
      <c r="AL69" t="s">
        <v>1401</v>
      </c>
      <c r="AM69" t="s">
        <v>1402</v>
      </c>
      <c r="AN69" t="s">
        <v>1403</v>
      </c>
      <c r="AO69" t="s">
        <v>1404</v>
      </c>
      <c r="AP69" t="s">
        <v>16</v>
      </c>
      <c r="AQ69" t="s">
        <v>16</v>
      </c>
      <c r="AR69" t="s">
        <v>1405</v>
      </c>
      <c r="AS69" t="s">
        <v>1406</v>
      </c>
      <c r="AT69" t="s">
        <v>1368</v>
      </c>
      <c r="AU69">
        <v>2014</v>
      </c>
      <c r="AV69">
        <v>71</v>
      </c>
      <c r="AW69">
        <v>6</v>
      </c>
      <c r="AX69" t="s">
        <v>16</v>
      </c>
      <c r="AY69" t="s">
        <v>16</v>
      </c>
      <c r="AZ69" t="s">
        <v>16</v>
      </c>
      <c r="BA69" t="s">
        <v>16</v>
      </c>
      <c r="BB69">
        <v>494</v>
      </c>
      <c r="BC69">
        <v>498</v>
      </c>
      <c r="BD69" t="s">
        <v>16</v>
      </c>
      <c r="BE69" t="s">
        <v>1407</v>
      </c>
      <c r="BF69" t="str">
        <f>HYPERLINK("http://dx.doi.org/10.1590/0103-9016-2014-0057","http://dx.doi.org/10.1590/0103-9016-2014-0057")</f>
        <v>http://dx.doi.org/10.1590/0103-9016-2014-0057</v>
      </c>
      <c r="BG69" t="s">
        <v>16</v>
      </c>
      <c r="BH69" t="s">
        <v>16</v>
      </c>
      <c r="BI69">
        <v>5</v>
      </c>
      <c r="BJ69" t="s">
        <v>296</v>
      </c>
      <c r="BK69" t="s">
        <v>73</v>
      </c>
      <c r="BL69" t="s">
        <v>42</v>
      </c>
      <c r="BM69" t="s">
        <v>1408</v>
      </c>
      <c r="BN69" t="s">
        <v>16</v>
      </c>
      <c r="BO69" t="s">
        <v>1409</v>
      </c>
      <c r="BP69" t="s">
        <v>16</v>
      </c>
      <c r="BQ69" t="s">
        <v>16</v>
      </c>
      <c r="BR69" t="s">
        <v>44</v>
      </c>
      <c r="BS69" t="s">
        <v>1410</v>
      </c>
      <c r="BT69" t="str">
        <f>HYPERLINK("https%3A%2F%2Fwww.webofscience.com%2Fwos%2Fwoscc%2Ffull-record%2FWOS:000346395100008","View Full Record in Web of Science")</f>
        <v>View Full Record in Web of Science</v>
      </c>
    </row>
    <row r="70" spans="1:72" x14ac:dyDescent="0.2">
      <c r="A70" t="s">
        <v>141</v>
      </c>
      <c r="B70" t="s">
        <v>1411</v>
      </c>
      <c r="C70" t="s">
        <v>16</v>
      </c>
      <c r="D70" t="s">
        <v>775</v>
      </c>
      <c r="E70" t="s">
        <v>16</v>
      </c>
      <c r="F70" t="s">
        <v>1411</v>
      </c>
      <c r="G70" t="s">
        <v>16</v>
      </c>
      <c r="H70" t="s">
        <v>16</v>
      </c>
      <c r="I70" t="s">
        <v>1412</v>
      </c>
      <c r="J70" t="s">
        <v>777</v>
      </c>
      <c r="K70" t="s">
        <v>778</v>
      </c>
      <c r="L70" t="s">
        <v>16</v>
      </c>
      <c r="M70" t="s">
        <v>22</v>
      </c>
      <c r="N70" t="s">
        <v>147</v>
      </c>
      <c r="O70" t="s">
        <v>779</v>
      </c>
      <c r="P70" t="s">
        <v>780</v>
      </c>
      <c r="Q70" t="s">
        <v>781</v>
      </c>
      <c r="R70" t="s">
        <v>782</v>
      </c>
      <c r="S70" t="s">
        <v>783</v>
      </c>
      <c r="T70" t="s">
        <v>1413</v>
      </c>
      <c r="U70" t="s">
        <v>16</v>
      </c>
      <c r="V70" t="s">
        <v>1414</v>
      </c>
      <c r="W70" t="s">
        <v>16</v>
      </c>
      <c r="X70" t="s">
        <v>16</v>
      </c>
      <c r="Y70" t="s">
        <v>1415</v>
      </c>
      <c r="Z70" t="s">
        <v>16</v>
      </c>
      <c r="AA70" t="s">
        <v>1416</v>
      </c>
      <c r="AB70" t="s">
        <v>16</v>
      </c>
      <c r="AC70" t="s">
        <v>16</v>
      </c>
      <c r="AD70" t="s">
        <v>16</v>
      </c>
      <c r="AE70" t="s">
        <v>16</v>
      </c>
      <c r="AF70" t="s">
        <v>16</v>
      </c>
      <c r="AG70">
        <v>0</v>
      </c>
      <c r="AH70">
        <v>5</v>
      </c>
      <c r="AI70">
        <v>5</v>
      </c>
      <c r="AJ70">
        <v>0</v>
      </c>
      <c r="AK70">
        <v>5</v>
      </c>
      <c r="AL70" t="s">
        <v>224</v>
      </c>
      <c r="AM70" t="s">
        <v>225</v>
      </c>
      <c r="AN70" t="s">
        <v>788</v>
      </c>
      <c r="AO70" t="s">
        <v>16</v>
      </c>
      <c r="AP70" t="s">
        <v>16</v>
      </c>
      <c r="AQ70" t="s">
        <v>790</v>
      </c>
      <c r="AR70" t="s">
        <v>791</v>
      </c>
      <c r="AS70" t="s">
        <v>16</v>
      </c>
      <c r="AT70" t="s">
        <v>16</v>
      </c>
      <c r="AU70">
        <v>1997</v>
      </c>
      <c r="AV70">
        <v>6</v>
      </c>
      <c r="AW70" t="s">
        <v>16</v>
      </c>
      <c r="AX70" t="s">
        <v>16</v>
      </c>
      <c r="AY70" t="s">
        <v>16</v>
      </c>
      <c r="AZ70" t="s">
        <v>16</v>
      </c>
      <c r="BA70" t="s">
        <v>16</v>
      </c>
      <c r="BB70">
        <v>101</v>
      </c>
      <c r="BC70">
        <v>112</v>
      </c>
      <c r="BD70" t="s">
        <v>16</v>
      </c>
      <c r="BE70" t="s">
        <v>16</v>
      </c>
      <c r="BF70" t="s">
        <v>16</v>
      </c>
      <c r="BG70" t="s">
        <v>16</v>
      </c>
      <c r="BH70" t="s">
        <v>16</v>
      </c>
      <c r="BI70">
        <v>12</v>
      </c>
      <c r="BJ70" t="s">
        <v>40</v>
      </c>
      <c r="BK70" t="s">
        <v>167</v>
      </c>
      <c r="BL70" t="s">
        <v>42</v>
      </c>
      <c r="BM70" t="s">
        <v>793</v>
      </c>
      <c r="BN70" t="s">
        <v>16</v>
      </c>
      <c r="BO70" t="s">
        <v>16</v>
      </c>
      <c r="BP70" t="s">
        <v>16</v>
      </c>
      <c r="BQ70" t="s">
        <v>16</v>
      </c>
      <c r="BR70" t="s">
        <v>44</v>
      </c>
      <c r="BS70" t="s">
        <v>1417</v>
      </c>
      <c r="BT70" t="str">
        <f>HYPERLINK("https%3A%2F%2Fwww.webofscience.com%2Fwos%2Fwoscc%2Ffull-record%2FWOS:A1997BH23W00007","View Full Record in Web of Science")</f>
        <v>View Full Record in Web of Science</v>
      </c>
    </row>
    <row r="71" spans="1:72" x14ac:dyDescent="0.2">
      <c r="A71" t="s">
        <v>46</v>
      </c>
      <c r="B71" t="s">
        <v>1418</v>
      </c>
      <c r="C71" t="s">
        <v>16</v>
      </c>
      <c r="D71" t="s">
        <v>16</v>
      </c>
      <c r="E71" t="s">
        <v>16</v>
      </c>
      <c r="F71" t="s">
        <v>1419</v>
      </c>
      <c r="G71" t="s">
        <v>16</v>
      </c>
      <c r="H71" t="s">
        <v>16</v>
      </c>
      <c r="I71" t="s">
        <v>1420</v>
      </c>
      <c r="J71" t="s">
        <v>220</v>
      </c>
      <c r="K71" t="s">
        <v>16</v>
      </c>
      <c r="L71" t="s">
        <v>16</v>
      </c>
      <c r="M71" t="s">
        <v>22</v>
      </c>
      <c r="N71" t="s">
        <v>51</v>
      </c>
      <c r="O71" t="s">
        <v>16</v>
      </c>
      <c r="P71" t="s">
        <v>16</v>
      </c>
      <c r="Q71" t="s">
        <v>16</v>
      </c>
      <c r="R71" t="s">
        <v>16</v>
      </c>
      <c r="S71" t="s">
        <v>16</v>
      </c>
      <c r="T71" t="s">
        <v>1421</v>
      </c>
      <c r="U71" t="s">
        <v>1422</v>
      </c>
      <c r="V71" t="s">
        <v>1423</v>
      </c>
      <c r="W71" t="s">
        <v>1424</v>
      </c>
      <c r="X71" t="s">
        <v>1425</v>
      </c>
      <c r="Y71" t="s">
        <v>1426</v>
      </c>
      <c r="Z71" t="s">
        <v>1427</v>
      </c>
      <c r="AA71" t="s">
        <v>1428</v>
      </c>
      <c r="AB71" t="s">
        <v>1429</v>
      </c>
      <c r="AC71" t="s">
        <v>16</v>
      </c>
      <c r="AD71" t="s">
        <v>16</v>
      </c>
      <c r="AE71" t="s">
        <v>16</v>
      </c>
      <c r="AF71" t="s">
        <v>16</v>
      </c>
      <c r="AG71">
        <v>63</v>
      </c>
      <c r="AH71">
        <v>15</v>
      </c>
      <c r="AI71">
        <v>16</v>
      </c>
      <c r="AJ71">
        <v>0</v>
      </c>
      <c r="AK71">
        <v>11</v>
      </c>
      <c r="AL71" t="s">
        <v>128</v>
      </c>
      <c r="AM71" t="s">
        <v>225</v>
      </c>
      <c r="AN71" t="s">
        <v>357</v>
      </c>
      <c r="AO71" t="s">
        <v>227</v>
      </c>
      <c r="AP71" t="s">
        <v>700</v>
      </c>
      <c r="AQ71" t="s">
        <v>16</v>
      </c>
      <c r="AR71" t="s">
        <v>220</v>
      </c>
      <c r="AS71" t="s">
        <v>228</v>
      </c>
      <c r="AT71" t="s">
        <v>1233</v>
      </c>
      <c r="AU71">
        <v>2015</v>
      </c>
      <c r="AV71">
        <v>202</v>
      </c>
      <c r="AW71">
        <v>3</v>
      </c>
      <c r="AX71" t="s">
        <v>16</v>
      </c>
      <c r="AY71" t="s">
        <v>16</v>
      </c>
      <c r="AZ71" t="s">
        <v>16</v>
      </c>
      <c r="BA71" t="s">
        <v>16</v>
      </c>
      <c r="BB71">
        <v>459</v>
      </c>
      <c r="BC71">
        <v>467</v>
      </c>
      <c r="BD71" t="s">
        <v>16</v>
      </c>
      <c r="BE71" t="s">
        <v>1430</v>
      </c>
      <c r="BF71" t="str">
        <f>HYPERLINK("http://dx.doi.org/10.1007/s10681-014-1329-4","http://dx.doi.org/10.1007/s10681-014-1329-4")</f>
        <v>http://dx.doi.org/10.1007/s10681-014-1329-4</v>
      </c>
      <c r="BG71" t="s">
        <v>16</v>
      </c>
      <c r="BH71" t="s">
        <v>16</v>
      </c>
      <c r="BI71">
        <v>9</v>
      </c>
      <c r="BJ71" t="s">
        <v>296</v>
      </c>
      <c r="BK71" t="s">
        <v>73</v>
      </c>
      <c r="BL71" t="s">
        <v>94</v>
      </c>
      <c r="BM71" t="s">
        <v>1431</v>
      </c>
      <c r="BN71" t="s">
        <v>16</v>
      </c>
      <c r="BO71" t="s">
        <v>772</v>
      </c>
      <c r="BP71" t="s">
        <v>16</v>
      </c>
      <c r="BQ71" t="s">
        <v>16</v>
      </c>
      <c r="BR71" t="s">
        <v>44</v>
      </c>
      <c r="BS71" t="s">
        <v>1432</v>
      </c>
      <c r="BT71" t="str">
        <f>HYPERLINK("https%3A%2F%2Fwww.webofscience.com%2Fwos%2Fwoscc%2Ffull-record%2FWOS:000351291100011","View Full Record in Web of Science")</f>
        <v>View Full Record in Web of Science</v>
      </c>
    </row>
    <row r="72" spans="1:72" x14ac:dyDescent="0.2">
      <c r="A72" t="s">
        <v>46</v>
      </c>
      <c r="B72" t="s">
        <v>1433</v>
      </c>
      <c r="C72" t="s">
        <v>16</v>
      </c>
      <c r="D72" t="s">
        <v>16</v>
      </c>
      <c r="E72" t="s">
        <v>16</v>
      </c>
      <c r="F72" t="s">
        <v>1434</v>
      </c>
      <c r="G72" t="s">
        <v>16</v>
      </c>
      <c r="H72" t="s">
        <v>16</v>
      </c>
      <c r="I72" t="s">
        <v>1435</v>
      </c>
      <c r="J72" t="s">
        <v>707</v>
      </c>
      <c r="K72" t="s">
        <v>16</v>
      </c>
      <c r="L72" t="s">
        <v>16</v>
      </c>
      <c r="M72" t="s">
        <v>22</v>
      </c>
      <c r="N72" t="s">
        <v>118</v>
      </c>
      <c r="O72" t="s">
        <v>16</v>
      </c>
      <c r="P72" t="s">
        <v>16</v>
      </c>
      <c r="Q72" t="s">
        <v>16</v>
      </c>
      <c r="R72" t="s">
        <v>16</v>
      </c>
      <c r="S72" t="s">
        <v>16</v>
      </c>
      <c r="T72" t="s">
        <v>1436</v>
      </c>
      <c r="U72" t="s">
        <v>1437</v>
      </c>
      <c r="V72" t="s">
        <v>1438</v>
      </c>
      <c r="W72" t="s">
        <v>1439</v>
      </c>
      <c r="X72" t="s">
        <v>1440</v>
      </c>
      <c r="Y72" t="s">
        <v>1441</v>
      </c>
      <c r="Z72" t="s">
        <v>1442</v>
      </c>
      <c r="AA72" t="s">
        <v>1443</v>
      </c>
      <c r="AB72" t="s">
        <v>1444</v>
      </c>
      <c r="AC72" t="s">
        <v>1445</v>
      </c>
      <c r="AD72" t="s">
        <v>1446</v>
      </c>
      <c r="AE72" t="s">
        <v>1447</v>
      </c>
      <c r="AF72" t="s">
        <v>16</v>
      </c>
      <c r="AG72">
        <v>83</v>
      </c>
      <c r="AH72">
        <v>139</v>
      </c>
      <c r="AI72">
        <v>151</v>
      </c>
      <c r="AJ72">
        <v>4</v>
      </c>
      <c r="AK72">
        <v>144</v>
      </c>
      <c r="AL72" t="s">
        <v>720</v>
      </c>
      <c r="AM72" t="s">
        <v>721</v>
      </c>
      <c r="AN72" t="s">
        <v>722</v>
      </c>
      <c r="AO72" t="s">
        <v>723</v>
      </c>
      <c r="AP72" t="s">
        <v>724</v>
      </c>
      <c r="AQ72" t="s">
        <v>16</v>
      </c>
      <c r="AR72" t="s">
        <v>725</v>
      </c>
      <c r="AS72" t="s">
        <v>726</v>
      </c>
      <c r="AT72" t="s">
        <v>1164</v>
      </c>
      <c r="AU72">
        <v>2015</v>
      </c>
      <c r="AV72">
        <v>66</v>
      </c>
      <c r="AW72">
        <v>12</v>
      </c>
      <c r="AX72" t="s">
        <v>16</v>
      </c>
      <c r="AY72" t="s">
        <v>16</v>
      </c>
      <c r="AZ72" t="s">
        <v>188</v>
      </c>
      <c r="BA72" t="s">
        <v>16</v>
      </c>
      <c r="BB72">
        <v>3463</v>
      </c>
      <c r="BC72">
        <v>3476</v>
      </c>
      <c r="BD72" t="s">
        <v>16</v>
      </c>
      <c r="BE72" t="s">
        <v>1448</v>
      </c>
      <c r="BF72" t="str">
        <f>HYPERLINK("http://dx.doi.org/10.1093/jxb/erv098","http://dx.doi.org/10.1093/jxb/erv098")</f>
        <v>http://dx.doi.org/10.1093/jxb/erv098</v>
      </c>
      <c r="BG72" t="s">
        <v>16</v>
      </c>
      <c r="BH72" t="s">
        <v>16</v>
      </c>
      <c r="BI72">
        <v>14</v>
      </c>
      <c r="BJ72" t="s">
        <v>214</v>
      </c>
      <c r="BK72" t="s">
        <v>73</v>
      </c>
      <c r="BL72" t="s">
        <v>214</v>
      </c>
      <c r="BM72" t="s">
        <v>1449</v>
      </c>
      <c r="BN72">
        <v>25795739</v>
      </c>
      <c r="BO72" t="s">
        <v>16</v>
      </c>
      <c r="BP72" t="s">
        <v>16</v>
      </c>
      <c r="BQ72" t="s">
        <v>16</v>
      </c>
      <c r="BR72" t="s">
        <v>44</v>
      </c>
      <c r="BS72" t="s">
        <v>1450</v>
      </c>
      <c r="BT72" t="str">
        <f>HYPERLINK("https%3A%2F%2Fwww.webofscience.com%2Fwos%2Fwoscc%2Ffull-record%2FWOS:000356665500004","View Full Record in Web of Science")</f>
        <v>View Full Record in Web of Science</v>
      </c>
    </row>
    <row r="73" spans="1:72" x14ac:dyDescent="0.2">
      <c r="A73" t="s">
        <v>46</v>
      </c>
      <c r="B73" t="s">
        <v>1451</v>
      </c>
      <c r="C73" t="s">
        <v>16</v>
      </c>
      <c r="D73" t="s">
        <v>16</v>
      </c>
      <c r="E73" t="s">
        <v>16</v>
      </c>
      <c r="F73" t="s">
        <v>1451</v>
      </c>
      <c r="G73" t="s">
        <v>16</v>
      </c>
      <c r="H73" t="s">
        <v>16</v>
      </c>
      <c r="I73" t="s">
        <v>1452</v>
      </c>
      <c r="J73" t="s">
        <v>1453</v>
      </c>
      <c r="K73" t="s">
        <v>16</v>
      </c>
      <c r="L73" t="s">
        <v>16</v>
      </c>
      <c r="M73" t="s">
        <v>22</v>
      </c>
      <c r="N73" t="s">
        <v>51</v>
      </c>
      <c r="O73" t="s">
        <v>16</v>
      </c>
      <c r="P73" t="s">
        <v>16</v>
      </c>
      <c r="Q73" t="s">
        <v>16</v>
      </c>
      <c r="R73" t="s">
        <v>16</v>
      </c>
      <c r="S73" t="s">
        <v>16</v>
      </c>
      <c r="T73" t="s">
        <v>16</v>
      </c>
      <c r="U73" t="s">
        <v>1454</v>
      </c>
      <c r="V73" t="s">
        <v>1455</v>
      </c>
      <c r="W73" t="s">
        <v>1456</v>
      </c>
      <c r="X73" t="s">
        <v>1457</v>
      </c>
      <c r="Y73" t="s">
        <v>1458</v>
      </c>
      <c r="Z73" t="s">
        <v>16</v>
      </c>
      <c r="AA73" t="s">
        <v>1246</v>
      </c>
      <c r="AB73" t="s">
        <v>1459</v>
      </c>
      <c r="AC73" t="s">
        <v>16</v>
      </c>
      <c r="AD73" t="s">
        <v>16</v>
      </c>
      <c r="AE73" t="s">
        <v>16</v>
      </c>
      <c r="AF73" t="s">
        <v>16</v>
      </c>
      <c r="AG73">
        <v>33</v>
      </c>
      <c r="AH73">
        <v>60</v>
      </c>
      <c r="AI73">
        <v>69</v>
      </c>
      <c r="AJ73">
        <v>0</v>
      </c>
      <c r="AK73">
        <v>11</v>
      </c>
      <c r="AL73" t="s">
        <v>63</v>
      </c>
      <c r="AM73" t="s">
        <v>64</v>
      </c>
      <c r="AN73" t="s">
        <v>65</v>
      </c>
      <c r="AO73" t="s">
        <v>1460</v>
      </c>
      <c r="AP73" t="s">
        <v>1461</v>
      </c>
      <c r="AQ73" t="s">
        <v>16</v>
      </c>
      <c r="AR73" t="s">
        <v>1462</v>
      </c>
      <c r="AS73" t="s">
        <v>1463</v>
      </c>
      <c r="AT73" t="s">
        <v>187</v>
      </c>
      <c r="AU73">
        <v>1994</v>
      </c>
      <c r="AV73">
        <v>86</v>
      </c>
      <c r="AW73">
        <v>1</v>
      </c>
      <c r="AX73" t="s">
        <v>16</v>
      </c>
      <c r="AY73" t="s">
        <v>16</v>
      </c>
      <c r="AZ73" t="s">
        <v>16</v>
      </c>
      <c r="BA73" t="s">
        <v>16</v>
      </c>
      <c r="BB73">
        <v>182</v>
      </c>
      <c r="BC73">
        <v>190</v>
      </c>
      <c r="BD73" t="s">
        <v>16</v>
      </c>
      <c r="BE73" t="s">
        <v>1464</v>
      </c>
      <c r="BF73" t="str">
        <f>HYPERLINK("http://dx.doi.org/10.2134/agronj1994.00021962008600010032x","http://dx.doi.org/10.2134/agronj1994.00021962008600010032x")</f>
        <v>http://dx.doi.org/10.2134/agronj1994.00021962008600010032x</v>
      </c>
      <c r="BG73" t="s">
        <v>16</v>
      </c>
      <c r="BH73" t="s">
        <v>16</v>
      </c>
      <c r="BI73">
        <v>9</v>
      </c>
      <c r="BJ73" t="s">
        <v>40</v>
      </c>
      <c r="BK73" t="s">
        <v>73</v>
      </c>
      <c r="BL73" t="s">
        <v>42</v>
      </c>
      <c r="BM73" t="s">
        <v>1465</v>
      </c>
      <c r="BN73" t="s">
        <v>16</v>
      </c>
      <c r="BO73" t="s">
        <v>16</v>
      </c>
      <c r="BP73" t="s">
        <v>16</v>
      </c>
      <c r="BQ73" t="s">
        <v>16</v>
      </c>
      <c r="BR73" t="s">
        <v>44</v>
      </c>
      <c r="BS73" t="s">
        <v>1466</v>
      </c>
      <c r="BT73" t="str">
        <f>HYPERLINK("https%3A%2F%2Fwww.webofscience.com%2Fwos%2Fwoscc%2Ffull-record%2FWOS:A1994MZ16600035","View Full Record in Web of Science")</f>
        <v>View Full Record in Web of Science</v>
      </c>
    </row>
    <row r="74" spans="1:72" x14ac:dyDescent="0.2">
      <c r="A74" t="s">
        <v>46</v>
      </c>
      <c r="B74" t="s">
        <v>1467</v>
      </c>
      <c r="C74" t="s">
        <v>16</v>
      </c>
      <c r="D74" t="s">
        <v>16</v>
      </c>
      <c r="E74" t="s">
        <v>16</v>
      </c>
      <c r="F74" t="s">
        <v>1468</v>
      </c>
      <c r="G74" t="s">
        <v>16</v>
      </c>
      <c r="H74" t="s">
        <v>16</v>
      </c>
      <c r="I74" t="s">
        <v>1469</v>
      </c>
      <c r="J74" t="s">
        <v>50</v>
      </c>
      <c r="K74" t="s">
        <v>16</v>
      </c>
      <c r="L74" t="s">
        <v>16</v>
      </c>
      <c r="M74" t="s">
        <v>22</v>
      </c>
      <c r="N74" t="s">
        <v>51</v>
      </c>
      <c r="O74" t="s">
        <v>16</v>
      </c>
      <c r="P74" t="s">
        <v>16</v>
      </c>
      <c r="Q74" t="s">
        <v>16</v>
      </c>
      <c r="R74" t="s">
        <v>16</v>
      </c>
      <c r="S74" t="s">
        <v>16</v>
      </c>
      <c r="T74" t="s">
        <v>16</v>
      </c>
      <c r="U74" t="s">
        <v>1470</v>
      </c>
      <c r="V74" t="s">
        <v>1471</v>
      </c>
      <c r="W74" t="s">
        <v>1472</v>
      </c>
      <c r="X74" t="s">
        <v>928</v>
      </c>
      <c r="Y74" t="s">
        <v>1473</v>
      </c>
      <c r="Z74" t="s">
        <v>1474</v>
      </c>
      <c r="AA74" t="s">
        <v>1475</v>
      </c>
      <c r="AB74" t="s">
        <v>1476</v>
      </c>
      <c r="AC74" t="s">
        <v>1477</v>
      </c>
      <c r="AD74" t="s">
        <v>1478</v>
      </c>
      <c r="AE74" t="s">
        <v>1479</v>
      </c>
      <c r="AF74" t="s">
        <v>16</v>
      </c>
      <c r="AG74">
        <v>40</v>
      </c>
      <c r="AH74">
        <v>37</v>
      </c>
      <c r="AI74">
        <v>41</v>
      </c>
      <c r="AJ74">
        <v>0</v>
      </c>
      <c r="AK74">
        <v>15</v>
      </c>
      <c r="AL74" t="s">
        <v>107</v>
      </c>
      <c r="AM74" t="s">
        <v>108</v>
      </c>
      <c r="AN74" t="s">
        <v>109</v>
      </c>
      <c r="AO74" t="s">
        <v>66</v>
      </c>
      <c r="AP74" t="s">
        <v>67</v>
      </c>
      <c r="AQ74" t="s">
        <v>16</v>
      </c>
      <c r="AR74" t="s">
        <v>68</v>
      </c>
      <c r="AS74" t="s">
        <v>69</v>
      </c>
      <c r="AT74" t="s">
        <v>187</v>
      </c>
      <c r="AU74">
        <v>2017</v>
      </c>
      <c r="AV74">
        <v>57</v>
      </c>
      <c r="AW74">
        <v>1</v>
      </c>
      <c r="AX74" t="s">
        <v>16</v>
      </c>
      <c r="AY74" t="s">
        <v>16</v>
      </c>
      <c r="AZ74" t="s">
        <v>16</v>
      </c>
      <c r="BA74" t="s">
        <v>16</v>
      </c>
      <c r="BB74">
        <v>216</v>
      </c>
      <c r="BC74">
        <v>228</v>
      </c>
      <c r="BD74" t="s">
        <v>16</v>
      </c>
      <c r="BE74" t="s">
        <v>1480</v>
      </c>
      <c r="BF74" t="str">
        <f>HYPERLINK("http://dx.doi.org/10.2135/cropsci2016.06.0526","http://dx.doi.org/10.2135/cropsci2016.06.0526")</f>
        <v>http://dx.doi.org/10.2135/cropsci2016.06.0526</v>
      </c>
      <c r="BG74" t="s">
        <v>16</v>
      </c>
      <c r="BH74" t="s">
        <v>16</v>
      </c>
      <c r="BI74">
        <v>13</v>
      </c>
      <c r="BJ74" t="s">
        <v>40</v>
      </c>
      <c r="BK74" t="s">
        <v>73</v>
      </c>
      <c r="BL74" t="s">
        <v>42</v>
      </c>
      <c r="BM74" t="s">
        <v>1481</v>
      </c>
      <c r="BN74" t="s">
        <v>16</v>
      </c>
      <c r="BO74" t="s">
        <v>1482</v>
      </c>
      <c r="BP74" t="s">
        <v>16</v>
      </c>
      <c r="BQ74" t="s">
        <v>16</v>
      </c>
      <c r="BR74" t="s">
        <v>44</v>
      </c>
      <c r="BS74" t="s">
        <v>1483</v>
      </c>
      <c r="BT74" t="str">
        <f>HYPERLINK("https%3A%2F%2Fwww.webofscience.com%2Fwos%2Fwoscc%2Ffull-record%2FWOS:000396378800021","View Full Record in Web of Science")</f>
        <v>View Full Record in Web of Science</v>
      </c>
    </row>
    <row r="75" spans="1:72" x14ac:dyDescent="0.2">
      <c r="A75" t="s">
        <v>46</v>
      </c>
      <c r="B75" t="s">
        <v>1484</v>
      </c>
      <c r="C75" t="s">
        <v>16</v>
      </c>
      <c r="D75" t="s">
        <v>16</v>
      </c>
      <c r="E75" t="s">
        <v>16</v>
      </c>
      <c r="F75" t="s">
        <v>1485</v>
      </c>
      <c r="G75" t="s">
        <v>16</v>
      </c>
      <c r="H75" t="s">
        <v>16</v>
      </c>
      <c r="I75" t="s">
        <v>1486</v>
      </c>
      <c r="J75" t="s">
        <v>117</v>
      </c>
      <c r="K75" t="s">
        <v>16</v>
      </c>
      <c r="L75" t="s">
        <v>16</v>
      </c>
      <c r="M75" t="s">
        <v>22</v>
      </c>
      <c r="N75" t="s">
        <v>51</v>
      </c>
      <c r="O75" t="s">
        <v>16</v>
      </c>
      <c r="P75" t="s">
        <v>16</v>
      </c>
      <c r="Q75" t="s">
        <v>16</v>
      </c>
      <c r="R75" t="s">
        <v>16</v>
      </c>
      <c r="S75" t="s">
        <v>16</v>
      </c>
      <c r="T75" t="s">
        <v>16</v>
      </c>
      <c r="U75" t="s">
        <v>1487</v>
      </c>
      <c r="V75" t="s">
        <v>1488</v>
      </c>
      <c r="W75" t="s">
        <v>1489</v>
      </c>
      <c r="X75" t="s">
        <v>16</v>
      </c>
      <c r="Y75" t="s">
        <v>1490</v>
      </c>
      <c r="Z75" t="s">
        <v>1491</v>
      </c>
      <c r="AA75" t="s">
        <v>16</v>
      </c>
      <c r="AB75" t="s">
        <v>16</v>
      </c>
      <c r="AC75" t="s">
        <v>16</v>
      </c>
      <c r="AD75" t="s">
        <v>16</v>
      </c>
      <c r="AE75" t="s">
        <v>16</v>
      </c>
      <c r="AF75" t="s">
        <v>16</v>
      </c>
      <c r="AG75">
        <v>55</v>
      </c>
      <c r="AH75">
        <v>16</v>
      </c>
      <c r="AI75">
        <v>16</v>
      </c>
      <c r="AJ75">
        <v>2</v>
      </c>
      <c r="AK75">
        <v>30</v>
      </c>
      <c r="AL75" t="s">
        <v>128</v>
      </c>
      <c r="AM75" t="s">
        <v>129</v>
      </c>
      <c r="AN75" t="s">
        <v>130</v>
      </c>
      <c r="AO75" t="s">
        <v>131</v>
      </c>
      <c r="AP75" t="s">
        <v>132</v>
      </c>
      <c r="AQ75" t="s">
        <v>16</v>
      </c>
      <c r="AR75" t="s">
        <v>133</v>
      </c>
      <c r="AS75" t="s">
        <v>134</v>
      </c>
      <c r="AT75" t="s">
        <v>812</v>
      </c>
      <c r="AU75">
        <v>2013</v>
      </c>
      <c r="AV75">
        <v>126</v>
      </c>
      <c r="AW75">
        <v>9</v>
      </c>
      <c r="AX75" t="s">
        <v>16</v>
      </c>
      <c r="AY75" t="s">
        <v>16</v>
      </c>
      <c r="AZ75" t="s">
        <v>16</v>
      </c>
      <c r="BA75" t="s">
        <v>16</v>
      </c>
      <c r="BB75">
        <v>2299</v>
      </c>
      <c r="BC75">
        <v>2312</v>
      </c>
      <c r="BD75" t="s">
        <v>16</v>
      </c>
      <c r="BE75" t="s">
        <v>1492</v>
      </c>
      <c r="BF75" t="str">
        <f>HYPERLINK("http://dx.doi.org/10.1007/s00122-013-2136-3","http://dx.doi.org/10.1007/s00122-013-2136-3")</f>
        <v>http://dx.doi.org/10.1007/s00122-013-2136-3</v>
      </c>
      <c r="BG75" t="s">
        <v>16</v>
      </c>
      <c r="BH75" t="s">
        <v>16</v>
      </c>
      <c r="BI75">
        <v>14</v>
      </c>
      <c r="BJ75" t="s">
        <v>296</v>
      </c>
      <c r="BK75" t="s">
        <v>73</v>
      </c>
      <c r="BL75" t="s">
        <v>137</v>
      </c>
      <c r="BM75" t="s">
        <v>1493</v>
      </c>
      <c r="BN75">
        <v>23760653</v>
      </c>
      <c r="BO75" t="s">
        <v>16</v>
      </c>
      <c r="BP75" t="s">
        <v>16</v>
      </c>
      <c r="BQ75" t="s">
        <v>16</v>
      </c>
      <c r="BR75" t="s">
        <v>44</v>
      </c>
      <c r="BS75" t="s">
        <v>1494</v>
      </c>
      <c r="BT75" t="str">
        <f>HYPERLINK("https%3A%2F%2Fwww.webofscience.com%2Fwos%2Fwoscc%2Ffull-record%2FWOS:000323671100009","View Full Record in Web of Science")</f>
        <v>View Full Record in Web of Science</v>
      </c>
    </row>
    <row r="76" spans="1:72" x14ac:dyDescent="0.2">
      <c r="A76" t="s">
        <v>46</v>
      </c>
      <c r="B76" t="s">
        <v>1495</v>
      </c>
      <c r="C76" t="s">
        <v>16</v>
      </c>
      <c r="D76" t="s">
        <v>16</v>
      </c>
      <c r="E76" t="s">
        <v>16</v>
      </c>
      <c r="F76" t="s">
        <v>1496</v>
      </c>
      <c r="G76" t="s">
        <v>16</v>
      </c>
      <c r="H76" t="s">
        <v>16</v>
      </c>
      <c r="I76" t="s">
        <v>1497</v>
      </c>
      <c r="J76" t="s">
        <v>1498</v>
      </c>
      <c r="K76" t="s">
        <v>16</v>
      </c>
      <c r="L76" t="s">
        <v>16</v>
      </c>
      <c r="M76" t="s">
        <v>22</v>
      </c>
      <c r="N76" t="s">
        <v>118</v>
      </c>
      <c r="O76" t="s">
        <v>16</v>
      </c>
      <c r="P76" t="s">
        <v>16</v>
      </c>
      <c r="Q76" t="s">
        <v>16</v>
      </c>
      <c r="R76" t="s">
        <v>16</v>
      </c>
      <c r="S76" t="s">
        <v>16</v>
      </c>
      <c r="T76" t="s">
        <v>1499</v>
      </c>
      <c r="U76" t="s">
        <v>1500</v>
      </c>
      <c r="V76" t="s">
        <v>1501</v>
      </c>
      <c r="W76" t="s">
        <v>1502</v>
      </c>
      <c r="X76" t="s">
        <v>1503</v>
      </c>
      <c r="Y76" t="s">
        <v>1504</v>
      </c>
      <c r="Z76" t="s">
        <v>1505</v>
      </c>
      <c r="AA76" t="s">
        <v>1506</v>
      </c>
      <c r="AB76" t="s">
        <v>1507</v>
      </c>
      <c r="AC76" t="s">
        <v>1508</v>
      </c>
      <c r="AD76" t="s">
        <v>1509</v>
      </c>
      <c r="AE76" t="s">
        <v>1510</v>
      </c>
      <c r="AF76" t="s">
        <v>16</v>
      </c>
      <c r="AG76">
        <v>136</v>
      </c>
      <c r="AH76">
        <v>35</v>
      </c>
      <c r="AI76">
        <v>37</v>
      </c>
      <c r="AJ76">
        <v>3</v>
      </c>
      <c r="AK76">
        <v>25</v>
      </c>
      <c r="AL76" t="s">
        <v>720</v>
      </c>
      <c r="AM76" t="s">
        <v>721</v>
      </c>
      <c r="AN76" t="s">
        <v>722</v>
      </c>
      <c r="AO76" t="s">
        <v>16</v>
      </c>
      <c r="AP76" t="s">
        <v>1511</v>
      </c>
      <c r="AQ76" t="s">
        <v>16</v>
      </c>
      <c r="AR76" t="s">
        <v>1498</v>
      </c>
      <c r="AS76" t="s">
        <v>1512</v>
      </c>
      <c r="AT76" t="s">
        <v>16</v>
      </c>
      <c r="AU76">
        <v>2021</v>
      </c>
      <c r="AV76">
        <v>3</v>
      </c>
      <c r="AW76">
        <v>1</v>
      </c>
      <c r="AX76" t="s">
        <v>16</v>
      </c>
      <c r="AY76" t="s">
        <v>16</v>
      </c>
      <c r="AZ76" t="s">
        <v>16</v>
      </c>
      <c r="BA76" t="s">
        <v>16</v>
      </c>
      <c r="BB76" t="s">
        <v>16</v>
      </c>
      <c r="BC76" t="s">
        <v>16</v>
      </c>
      <c r="BD76" t="s">
        <v>1513</v>
      </c>
      <c r="BE76" t="s">
        <v>1514</v>
      </c>
      <c r="BF76" t="str">
        <f>HYPERLINK("http://dx.doi.org/10.1093/insilicoplants/diaa016","http://dx.doi.org/10.1093/insilicoplants/diaa016")</f>
        <v>http://dx.doi.org/10.1093/insilicoplants/diaa016</v>
      </c>
      <c r="BG76" t="s">
        <v>16</v>
      </c>
      <c r="BH76" t="s">
        <v>16</v>
      </c>
      <c r="BI76">
        <v>21</v>
      </c>
      <c r="BJ76" t="s">
        <v>296</v>
      </c>
      <c r="BK76" t="s">
        <v>603</v>
      </c>
      <c r="BL76" t="s">
        <v>1515</v>
      </c>
      <c r="BM76" t="s">
        <v>1516</v>
      </c>
      <c r="BN76" t="s">
        <v>16</v>
      </c>
      <c r="BO76" t="s">
        <v>1517</v>
      </c>
      <c r="BP76" t="s">
        <v>16</v>
      </c>
      <c r="BQ76" t="s">
        <v>16</v>
      </c>
      <c r="BR76" t="s">
        <v>44</v>
      </c>
      <c r="BS76" t="s">
        <v>1518</v>
      </c>
      <c r="BT76" t="str">
        <f>HYPERLINK("https%3A%2F%2Fwww.webofscience.com%2Fwos%2Fwoscc%2Ffull-record%2FWOS:000729238000006","View Full Record in Web of Science")</f>
        <v>View Full Record in Web of Science</v>
      </c>
    </row>
    <row r="77" spans="1:72" x14ac:dyDescent="0.2">
      <c r="A77" t="s">
        <v>46</v>
      </c>
      <c r="B77" t="s">
        <v>1519</v>
      </c>
      <c r="C77" t="s">
        <v>16</v>
      </c>
      <c r="D77" t="s">
        <v>16</v>
      </c>
      <c r="E77" t="s">
        <v>16</v>
      </c>
      <c r="F77" t="s">
        <v>1520</v>
      </c>
      <c r="G77" t="s">
        <v>16</v>
      </c>
      <c r="H77" t="s">
        <v>16</v>
      </c>
      <c r="I77" t="s">
        <v>1521</v>
      </c>
      <c r="J77" t="s">
        <v>117</v>
      </c>
      <c r="K77" t="s">
        <v>16</v>
      </c>
      <c r="L77" t="s">
        <v>16</v>
      </c>
      <c r="M77" t="s">
        <v>22</v>
      </c>
      <c r="N77" t="s">
        <v>51</v>
      </c>
      <c r="O77" t="s">
        <v>16</v>
      </c>
      <c r="P77" t="s">
        <v>16</v>
      </c>
      <c r="Q77" t="s">
        <v>16</v>
      </c>
      <c r="R77" t="s">
        <v>16</v>
      </c>
      <c r="S77" t="s">
        <v>16</v>
      </c>
      <c r="T77" t="s">
        <v>16</v>
      </c>
      <c r="U77" t="s">
        <v>1522</v>
      </c>
      <c r="V77" t="s">
        <v>1523</v>
      </c>
      <c r="W77" t="s">
        <v>1524</v>
      </c>
      <c r="X77" t="s">
        <v>1525</v>
      </c>
      <c r="Y77" t="s">
        <v>1526</v>
      </c>
      <c r="Z77" t="s">
        <v>1527</v>
      </c>
      <c r="AA77" t="s">
        <v>1528</v>
      </c>
      <c r="AB77" t="s">
        <v>1529</v>
      </c>
      <c r="AC77" t="s">
        <v>1530</v>
      </c>
      <c r="AD77" t="s">
        <v>1531</v>
      </c>
      <c r="AE77" t="s">
        <v>1532</v>
      </c>
      <c r="AF77" t="s">
        <v>16</v>
      </c>
      <c r="AG77">
        <v>47</v>
      </c>
      <c r="AH77">
        <v>3</v>
      </c>
      <c r="AI77">
        <v>3</v>
      </c>
      <c r="AJ77">
        <v>0</v>
      </c>
      <c r="AK77">
        <v>22</v>
      </c>
      <c r="AL77" t="s">
        <v>128</v>
      </c>
      <c r="AM77" t="s">
        <v>129</v>
      </c>
      <c r="AN77" t="s">
        <v>130</v>
      </c>
      <c r="AO77" t="s">
        <v>131</v>
      </c>
      <c r="AP77" t="s">
        <v>132</v>
      </c>
      <c r="AQ77" t="s">
        <v>16</v>
      </c>
      <c r="AR77" t="s">
        <v>133</v>
      </c>
      <c r="AS77" t="s">
        <v>134</v>
      </c>
      <c r="AT77" t="s">
        <v>1533</v>
      </c>
      <c r="AU77">
        <v>2021</v>
      </c>
      <c r="AV77">
        <v>134</v>
      </c>
      <c r="AW77">
        <v>2</v>
      </c>
      <c r="AX77" t="s">
        <v>16</v>
      </c>
      <c r="AY77" t="s">
        <v>16</v>
      </c>
      <c r="AZ77" t="s">
        <v>16</v>
      </c>
      <c r="BA77" t="s">
        <v>16</v>
      </c>
      <c r="BB77">
        <v>715</v>
      </c>
      <c r="BC77">
        <v>730</v>
      </c>
      <c r="BD77" t="s">
        <v>16</v>
      </c>
      <c r="BE77" t="s">
        <v>1534</v>
      </c>
      <c r="BF77" t="str">
        <f>HYPERLINK("http://dx.doi.org/10.1007/s00122-020-03726-6","http://dx.doi.org/10.1007/s00122-020-03726-6")</f>
        <v>http://dx.doi.org/10.1007/s00122-020-03726-6</v>
      </c>
      <c r="BG77" t="s">
        <v>16</v>
      </c>
      <c r="BH77" t="s">
        <v>1535</v>
      </c>
      <c r="BI77">
        <v>16</v>
      </c>
      <c r="BJ77" t="s">
        <v>296</v>
      </c>
      <c r="BK77" t="s">
        <v>73</v>
      </c>
      <c r="BL77" t="s">
        <v>137</v>
      </c>
      <c r="BM77" t="s">
        <v>1536</v>
      </c>
      <c r="BN77">
        <v>33216217</v>
      </c>
      <c r="BO77" t="s">
        <v>16</v>
      </c>
      <c r="BP77" t="s">
        <v>16</v>
      </c>
      <c r="BQ77" t="s">
        <v>16</v>
      </c>
      <c r="BR77" t="s">
        <v>44</v>
      </c>
      <c r="BS77" t="s">
        <v>1537</v>
      </c>
      <c r="BT77" t="str">
        <f>HYPERLINK("https%3A%2F%2Fwww.webofscience.com%2Fwos%2Fwoscc%2Ffull-record%2FWOS:000591106100001","View Full Record in Web of Science")</f>
        <v>View Full Record in Web of Science</v>
      </c>
    </row>
    <row r="78" spans="1:72" x14ac:dyDescent="0.2">
      <c r="A78" t="s">
        <v>46</v>
      </c>
      <c r="B78" t="s">
        <v>1538</v>
      </c>
      <c r="C78" t="s">
        <v>16</v>
      </c>
      <c r="D78" t="s">
        <v>16</v>
      </c>
      <c r="E78" t="s">
        <v>16</v>
      </c>
      <c r="F78" t="s">
        <v>1539</v>
      </c>
      <c r="G78" t="s">
        <v>16</v>
      </c>
      <c r="H78" t="s">
        <v>16</v>
      </c>
      <c r="I78" t="s">
        <v>1540</v>
      </c>
      <c r="J78" t="s">
        <v>1541</v>
      </c>
      <c r="K78" t="s">
        <v>16</v>
      </c>
      <c r="L78" t="s">
        <v>16</v>
      </c>
      <c r="M78" t="s">
        <v>22</v>
      </c>
      <c r="N78" t="s">
        <v>51</v>
      </c>
      <c r="O78" t="s">
        <v>16</v>
      </c>
      <c r="P78" t="s">
        <v>16</v>
      </c>
      <c r="Q78" t="s">
        <v>16</v>
      </c>
      <c r="R78" t="s">
        <v>16</v>
      </c>
      <c r="S78" t="s">
        <v>16</v>
      </c>
      <c r="T78" t="s">
        <v>16</v>
      </c>
      <c r="U78" t="s">
        <v>1542</v>
      </c>
      <c r="V78" t="s">
        <v>1543</v>
      </c>
      <c r="W78" t="s">
        <v>1544</v>
      </c>
      <c r="X78" t="s">
        <v>1545</v>
      </c>
      <c r="Y78" t="s">
        <v>1546</v>
      </c>
      <c r="Z78" t="s">
        <v>1547</v>
      </c>
      <c r="AA78" t="s">
        <v>1548</v>
      </c>
      <c r="AB78" t="s">
        <v>1549</v>
      </c>
      <c r="AC78" t="s">
        <v>1550</v>
      </c>
      <c r="AD78" t="s">
        <v>1551</v>
      </c>
      <c r="AE78" t="s">
        <v>1552</v>
      </c>
      <c r="AF78" t="s">
        <v>16</v>
      </c>
      <c r="AG78">
        <v>64</v>
      </c>
      <c r="AH78">
        <v>0</v>
      </c>
      <c r="AI78">
        <v>0</v>
      </c>
      <c r="AJ78">
        <v>0</v>
      </c>
      <c r="AK78">
        <v>5</v>
      </c>
      <c r="AL78" t="s">
        <v>1553</v>
      </c>
      <c r="AM78" t="s">
        <v>1554</v>
      </c>
      <c r="AN78" t="s">
        <v>1555</v>
      </c>
      <c r="AO78" t="s">
        <v>1556</v>
      </c>
      <c r="AP78" t="s">
        <v>16</v>
      </c>
      <c r="AQ78" t="s">
        <v>16</v>
      </c>
      <c r="AR78" t="s">
        <v>1541</v>
      </c>
      <c r="AS78" t="s">
        <v>1557</v>
      </c>
      <c r="AT78" t="s">
        <v>1558</v>
      </c>
      <c r="AU78">
        <v>2021</v>
      </c>
      <c r="AV78">
        <v>16</v>
      </c>
      <c r="AW78">
        <v>11</v>
      </c>
      <c r="AX78" t="s">
        <v>16</v>
      </c>
      <c r="AY78" t="s">
        <v>16</v>
      </c>
      <c r="AZ78" t="s">
        <v>16</v>
      </c>
      <c r="BA78" t="s">
        <v>16</v>
      </c>
      <c r="BB78" t="s">
        <v>16</v>
      </c>
      <c r="BC78" t="s">
        <v>16</v>
      </c>
      <c r="BD78" t="s">
        <v>1559</v>
      </c>
      <c r="BE78" t="s">
        <v>1560</v>
      </c>
      <c r="BF78" t="str">
        <f>HYPERLINK("http://dx.doi.org/10.1371/journal.pone.0257213","http://dx.doi.org/10.1371/journal.pone.0257213")</f>
        <v>http://dx.doi.org/10.1371/journal.pone.0257213</v>
      </c>
      <c r="BG78" t="s">
        <v>16</v>
      </c>
      <c r="BH78" t="s">
        <v>16</v>
      </c>
      <c r="BI78">
        <v>18</v>
      </c>
      <c r="BJ78" t="s">
        <v>296</v>
      </c>
      <c r="BK78" t="s">
        <v>73</v>
      </c>
      <c r="BL78" t="s">
        <v>297</v>
      </c>
      <c r="BM78" t="s">
        <v>1561</v>
      </c>
      <c r="BN78">
        <v>34843488</v>
      </c>
      <c r="BO78" t="s">
        <v>216</v>
      </c>
      <c r="BP78" t="s">
        <v>16</v>
      </c>
      <c r="BQ78" t="s">
        <v>16</v>
      </c>
      <c r="BR78" t="s">
        <v>44</v>
      </c>
      <c r="BS78" t="s">
        <v>1562</v>
      </c>
      <c r="BT78" t="str">
        <f>HYPERLINK("https%3A%2F%2Fwww.webofscience.com%2Fwos%2Fwoscc%2Ffull-record%2FWOS:000752076100008","View Full Record in Web of Science")</f>
        <v>View Full Record in Web of Science</v>
      </c>
    </row>
    <row r="79" spans="1:72" x14ac:dyDescent="0.2">
      <c r="A79" t="s">
        <v>46</v>
      </c>
      <c r="B79" t="s">
        <v>1563</v>
      </c>
      <c r="C79" t="s">
        <v>16</v>
      </c>
      <c r="D79" t="s">
        <v>16</v>
      </c>
      <c r="E79" t="s">
        <v>16</v>
      </c>
      <c r="F79" t="s">
        <v>1564</v>
      </c>
      <c r="G79" t="s">
        <v>16</v>
      </c>
      <c r="H79" t="s">
        <v>16</v>
      </c>
      <c r="I79" t="s">
        <v>1565</v>
      </c>
      <c r="J79" t="s">
        <v>1498</v>
      </c>
      <c r="K79" t="s">
        <v>16</v>
      </c>
      <c r="L79" t="s">
        <v>16</v>
      </c>
      <c r="M79" t="s">
        <v>22</v>
      </c>
      <c r="N79" t="s">
        <v>51</v>
      </c>
      <c r="O79" t="s">
        <v>16</v>
      </c>
      <c r="P79" t="s">
        <v>16</v>
      </c>
      <c r="Q79" t="s">
        <v>16</v>
      </c>
      <c r="R79" t="s">
        <v>16</v>
      </c>
      <c r="S79" t="s">
        <v>16</v>
      </c>
      <c r="T79" t="s">
        <v>1566</v>
      </c>
      <c r="U79" t="s">
        <v>1567</v>
      </c>
      <c r="V79" t="s">
        <v>1568</v>
      </c>
      <c r="W79" t="s">
        <v>1569</v>
      </c>
      <c r="X79" t="s">
        <v>1570</v>
      </c>
      <c r="Y79" t="s">
        <v>1571</v>
      </c>
      <c r="Z79" t="s">
        <v>1572</v>
      </c>
      <c r="AA79" t="s">
        <v>1573</v>
      </c>
      <c r="AB79" t="s">
        <v>1574</v>
      </c>
      <c r="AC79" t="s">
        <v>1575</v>
      </c>
      <c r="AD79" t="s">
        <v>1576</v>
      </c>
      <c r="AE79" t="s">
        <v>1577</v>
      </c>
      <c r="AF79" t="s">
        <v>16</v>
      </c>
      <c r="AG79">
        <v>87</v>
      </c>
      <c r="AH79">
        <v>18</v>
      </c>
      <c r="AI79">
        <v>19</v>
      </c>
      <c r="AJ79">
        <v>3</v>
      </c>
      <c r="AK79">
        <v>21</v>
      </c>
      <c r="AL79" t="s">
        <v>720</v>
      </c>
      <c r="AM79" t="s">
        <v>721</v>
      </c>
      <c r="AN79" t="s">
        <v>722</v>
      </c>
      <c r="AO79" t="s">
        <v>16</v>
      </c>
      <c r="AP79" t="s">
        <v>1511</v>
      </c>
      <c r="AQ79" t="s">
        <v>16</v>
      </c>
      <c r="AR79" t="s">
        <v>1498</v>
      </c>
      <c r="AS79" t="s">
        <v>1512</v>
      </c>
      <c r="AT79" t="s">
        <v>16</v>
      </c>
      <c r="AU79">
        <v>2021</v>
      </c>
      <c r="AV79">
        <v>3</v>
      </c>
      <c r="AW79">
        <v>1</v>
      </c>
      <c r="AX79" t="s">
        <v>16</v>
      </c>
      <c r="AY79" t="s">
        <v>16</v>
      </c>
      <c r="AZ79" t="s">
        <v>16</v>
      </c>
      <c r="BA79" t="s">
        <v>16</v>
      </c>
      <c r="BB79" t="s">
        <v>16</v>
      </c>
      <c r="BC79" t="s">
        <v>16</v>
      </c>
      <c r="BD79" t="s">
        <v>1578</v>
      </c>
      <c r="BE79" t="s">
        <v>1579</v>
      </c>
      <c r="BF79" t="str">
        <f>HYPERLINK("http://dx.doi.org/10.1093/insilicoplants/diab001","http://dx.doi.org/10.1093/insilicoplants/diab001")</f>
        <v>http://dx.doi.org/10.1093/insilicoplants/diab001</v>
      </c>
      <c r="BG79" t="s">
        <v>16</v>
      </c>
      <c r="BH79" t="s">
        <v>1580</v>
      </c>
      <c r="BI79">
        <v>19</v>
      </c>
      <c r="BJ79" t="s">
        <v>296</v>
      </c>
      <c r="BK79" t="s">
        <v>603</v>
      </c>
      <c r="BL79" t="s">
        <v>1515</v>
      </c>
      <c r="BM79" t="s">
        <v>1516</v>
      </c>
      <c r="BN79" t="s">
        <v>16</v>
      </c>
      <c r="BO79" t="s">
        <v>552</v>
      </c>
      <c r="BP79" t="s">
        <v>16</v>
      </c>
      <c r="BQ79" t="s">
        <v>16</v>
      </c>
      <c r="BR79" t="s">
        <v>44</v>
      </c>
      <c r="BS79" t="s">
        <v>1581</v>
      </c>
      <c r="BT79" t="str">
        <f>HYPERLINK("https%3A%2F%2Fwww.webofscience.com%2Fwos%2Fwoscc%2Ffull-record%2FWOS:000729238000008","View Full Record in Web of Science")</f>
        <v>View Full Record in Web of Science</v>
      </c>
    </row>
    <row r="80" spans="1:72" x14ac:dyDescent="0.2">
      <c r="A80" t="s">
        <v>46</v>
      </c>
      <c r="B80" t="s">
        <v>1582</v>
      </c>
      <c r="C80" t="s">
        <v>16</v>
      </c>
      <c r="D80" t="s">
        <v>16</v>
      </c>
      <c r="E80" t="s">
        <v>16</v>
      </c>
      <c r="F80" t="s">
        <v>1583</v>
      </c>
      <c r="G80" t="s">
        <v>16</v>
      </c>
      <c r="H80" t="s">
        <v>16</v>
      </c>
      <c r="I80" t="s">
        <v>1584</v>
      </c>
      <c r="J80" t="s">
        <v>346</v>
      </c>
      <c r="K80" t="s">
        <v>16</v>
      </c>
      <c r="L80" t="s">
        <v>16</v>
      </c>
      <c r="M80" t="s">
        <v>22</v>
      </c>
      <c r="N80" t="s">
        <v>51</v>
      </c>
      <c r="O80" t="s">
        <v>16</v>
      </c>
      <c r="P80" t="s">
        <v>16</v>
      </c>
      <c r="Q80" t="s">
        <v>16</v>
      </c>
      <c r="R80" t="s">
        <v>16</v>
      </c>
      <c r="S80" t="s">
        <v>16</v>
      </c>
      <c r="T80" t="s">
        <v>1585</v>
      </c>
      <c r="U80" t="s">
        <v>1586</v>
      </c>
      <c r="V80" t="s">
        <v>1587</v>
      </c>
      <c r="W80" t="s">
        <v>1588</v>
      </c>
      <c r="X80" t="s">
        <v>372</v>
      </c>
      <c r="Y80" t="s">
        <v>1589</v>
      </c>
      <c r="Z80" t="s">
        <v>1590</v>
      </c>
      <c r="AA80" t="s">
        <v>1591</v>
      </c>
      <c r="AB80" t="s">
        <v>1592</v>
      </c>
      <c r="AC80" t="s">
        <v>16</v>
      </c>
      <c r="AD80" t="s">
        <v>16</v>
      </c>
      <c r="AE80" t="s">
        <v>16</v>
      </c>
      <c r="AF80" t="s">
        <v>16</v>
      </c>
      <c r="AG80">
        <v>63</v>
      </c>
      <c r="AH80">
        <v>28</v>
      </c>
      <c r="AI80">
        <v>32</v>
      </c>
      <c r="AJ80">
        <v>0</v>
      </c>
      <c r="AK80">
        <v>19</v>
      </c>
      <c r="AL80" t="s">
        <v>128</v>
      </c>
      <c r="AM80" t="s">
        <v>225</v>
      </c>
      <c r="AN80" t="s">
        <v>357</v>
      </c>
      <c r="AO80" t="s">
        <v>358</v>
      </c>
      <c r="AP80" t="s">
        <v>359</v>
      </c>
      <c r="AQ80" t="s">
        <v>16</v>
      </c>
      <c r="AR80" t="s">
        <v>360</v>
      </c>
      <c r="AS80" t="s">
        <v>361</v>
      </c>
      <c r="AT80" t="s">
        <v>464</v>
      </c>
      <c r="AU80">
        <v>2018</v>
      </c>
      <c r="AV80">
        <v>38</v>
      </c>
      <c r="AW80">
        <v>5</v>
      </c>
      <c r="AX80" t="s">
        <v>16</v>
      </c>
      <c r="AY80" t="s">
        <v>16</v>
      </c>
      <c r="AZ80" t="s">
        <v>16</v>
      </c>
      <c r="BA80" t="s">
        <v>16</v>
      </c>
      <c r="BB80" t="s">
        <v>16</v>
      </c>
      <c r="BC80" t="s">
        <v>16</v>
      </c>
      <c r="BD80">
        <v>55</v>
      </c>
      <c r="BE80" t="s">
        <v>1593</v>
      </c>
      <c r="BF80" t="str">
        <f>HYPERLINK("http://dx.doi.org/10.1007/s11032-018-0820-3","http://dx.doi.org/10.1007/s11032-018-0820-3")</f>
        <v>http://dx.doi.org/10.1007/s11032-018-0820-3</v>
      </c>
      <c r="BG80" t="s">
        <v>16</v>
      </c>
      <c r="BH80" t="s">
        <v>16</v>
      </c>
      <c r="BI80">
        <v>16</v>
      </c>
      <c r="BJ80" t="s">
        <v>296</v>
      </c>
      <c r="BK80" t="s">
        <v>73</v>
      </c>
      <c r="BL80" t="s">
        <v>137</v>
      </c>
      <c r="BM80" t="s">
        <v>1594</v>
      </c>
      <c r="BN80" t="s">
        <v>16</v>
      </c>
      <c r="BO80" t="s">
        <v>16</v>
      </c>
      <c r="BP80" t="s">
        <v>16</v>
      </c>
      <c r="BQ80" t="s">
        <v>16</v>
      </c>
      <c r="BR80" t="s">
        <v>44</v>
      </c>
      <c r="BS80" t="s">
        <v>1595</v>
      </c>
      <c r="BT80" t="str">
        <f>HYPERLINK("https%3A%2F%2Fwww.webofscience.com%2Fwos%2Fwoscc%2Ffull-record%2FWOS:000432174400014","View Full Record in Web of Science")</f>
        <v>View Full Record in Web of Science</v>
      </c>
    </row>
    <row r="81" spans="1:72" x14ac:dyDescent="0.2">
      <c r="A81" t="s">
        <v>46</v>
      </c>
      <c r="B81" t="s">
        <v>1596</v>
      </c>
      <c r="C81" t="s">
        <v>16</v>
      </c>
      <c r="D81" t="s">
        <v>16</v>
      </c>
      <c r="E81" t="s">
        <v>16</v>
      </c>
      <c r="F81" t="s">
        <v>1597</v>
      </c>
      <c r="G81" t="s">
        <v>16</v>
      </c>
      <c r="H81" t="s">
        <v>16</v>
      </c>
      <c r="I81" t="s">
        <v>1598</v>
      </c>
      <c r="J81" t="s">
        <v>1498</v>
      </c>
      <c r="K81" t="s">
        <v>16</v>
      </c>
      <c r="L81" t="s">
        <v>16</v>
      </c>
      <c r="M81" t="s">
        <v>22</v>
      </c>
      <c r="N81" t="s">
        <v>51</v>
      </c>
      <c r="O81" t="s">
        <v>16</v>
      </c>
      <c r="P81" t="s">
        <v>16</v>
      </c>
      <c r="Q81" t="s">
        <v>16</v>
      </c>
      <c r="R81" t="s">
        <v>16</v>
      </c>
      <c r="S81" t="s">
        <v>16</v>
      </c>
      <c r="T81" t="s">
        <v>1599</v>
      </c>
      <c r="U81" t="s">
        <v>1600</v>
      </c>
      <c r="V81" t="s">
        <v>1601</v>
      </c>
      <c r="W81" t="s">
        <v>1602</v>
      </c>
      <c r="X81" t="s">
        <v>156</v>
      </c>
      <c r="Y81" t="s">
        <v>1603</v>
      </c>
      <c r="Z81" t="s">
        <v>714</v>
      </c>
      <c r="AA81" t="s">
        <v>1604</v>
      </c>
      <c r="AB81" t="s">
        <v>1605</v>
      </c>
      <c r="AC81" t="s">
        <v>1606</v>
      </c>
      <c r="AD81" t="s">
        <v>1607</v>
      </c>
      <c r="AE81" t="s">
        <v>1608</v>
      </c>
      <c r="AF81" t="s">
        <v>16</v>
      </c>
      <c r="AG81">
        <v>144</v>
      </c>
      <c r="AH81">
        <v>50</v>
      </c>
      <c r="AI81">
        <v>51</v>
      </c>
      <c r="AJ81">
        <v>1</v>
      </c>
      <c r="AK81">
        <v>5</v>
      </c>
      <c r="AL81" t="s">
        <v>720</v>
      </c>
      <c r="AM81" t="s">
        <v>721</v>
      </c>
      <c r="AN81" t="s">
        <v>722</v>
      </c>
      <c r="AO81" t="s">
        <v>16</v>
      </c>
      <c r="AP81" t="s">
        <v>1511</v>
      </c>
      <c r="AQ81" t="s">
        <v>16</v>
      </c>
      <c r="AR81" t="s">
        <v>1498</v>
      </c>
      <c r="AS81" t="s">
        <v>1512</v>
      </c>
      <c r="AT81" t="s">
        <v>16</v>
      </c>
      <c r="AU81">
        <v>2019</v>
      </c>
      <c r="AV81">
        <v>1</v>
      </c>
      <c r="AW81">
        <v>1</v>
      </c>
      <c r="AX81" t="s">
        <v>16</v>
      </c>
      <c r="AY81" t="s">
        <v>16</v>
      </c>
      <c r="AZ81" t="s">
        <v>16</v>
      </c>
      <c r="BA81" t="s">
        <v>16</v>
      </c>
      <c r="BB81" t="s">
        <v>16</v>
      </c>
      <c r="BC81" t="s">
        <v>16</v>
      </c>
      <c r="BD81" t="s">
        <v>1609</v>
      </c>
      <c r="BE81" t="s">
        <v>1610</v>
      </c>
      <c r="BF81" t="str">
        <f>HYPERLINK("http://dx.doi.org/10.1093/insilicoplants/diz010","http://dx.doi.org/10.1093/insilicoplants/diz010")</f>
        <v>http://dx.doi.org/10.1093/insilicoplants/diz010</v>
      </c>
      <c r="BG81" t="s">
        <v>16</v>
      </c>
      <c r="BH81" t="s">
        <v>16</v>
      </c>
      <c r="BI81">
        <v>21</v>
      </c>
      <c r="BJ81" t="s">
        <v>296</v>
      </c>
      <c r="BK81" t="s">
        <v>603</v>
      </c>
      <c r="BL81" t="s">
        <v>1515</v>
      </c>
      <c r="BM81" t="s">
        <v>1611</v>
      </c>
      <c r="BN81" t="s">
        <v>16</v>
      </c>
      <c r="BO81" t="s">
        <v>552</v>
      </c>
      <c r="BP81" t="s">
        <v>16</v>
      </c>
      <c r="BQ81" t="s">
        <v>16</v>
      </c>
      <c r="BR81" t="s">
        <v>44</v>
      </c>
      <c r="BS81" t="s">
        <v>1612</v>
      </c>
      <c r="BT81" t="str">
        <f>HYPERLINK("https%3A%2F%2Fwww.webofscience.com%2Fwos%2Fwoscc%2Ffull-record%2FWOS:000729237800013","View Full Record in Web of Science")</f>
        <v>View Full Record in Web of Science</v>
      </c>
    </row>
    <row r="82" spans="1:72" x14ac:dyDescent="0.2">
      <c r="A82" t="s">
        <v>46</v>
      </c>
      <c r="B82" t="s">
        <v>1613</v>
      </c>
      <c r="C82" t="s">
        <v>16</v>
      </c>
      <c r="D82" t="s">
        <v>16</v>
      </c>
      <c r="E82" t="s">
        <v>16</v>
      </c>
      <c r="F82" t="s">
        <v>1614</v>
      </c>
      <c r="G82" t="s">
        <v>16</v>
      </c>
      <c r="H82" t="s">
        <v>16</v>
      </c>
      <c r="I82" t="s">
        <v>1615</v>
      </c>
      <c r="J82" t="s">
        <v>1541</v>
      </c>
      <c r="K82" t="s">
        <v>16</v>
      </c>
      <c r="L82" t="s">
        <v>16</v>
      </c>
      <c r="M82" t="s">
        <v>22</v>
      </c>
      <c r="N82" t="s">
        <v>51</v>
      </c>
      <c r="O82" t="s">
        <v>16</v>
      </c>
      <c r="P82" t="s">
        <v>16</v>
      </c>
      <c r="Q82" t="s">
        <v>16</v>
      </c>
      <c r="R82" t="s">
        <v>16</v>
      </c>
      <c r="S82" t="s">
        <v>16</v>
      </c>
      <c r="T82" t="s">
        <v>16</v>
      </c>
      <c r="U82" t="s">
        <v>1616</v>
      </c>
      <c r="V82" t="s">
        <v>1617</v>
      </c>
      <c r="W82" t="s">
        <v>1618</v>
      </c>
      <c r="X82" t="s">
        <v>1619</v>
      </c>
      <c r="Y82" t="s">
        <v>1620</v>
      </c>
      <c r="Z82" t="s">
        <v>1621</v>
      </c>
      <c r="AA82" t="s">
        <v>1622</v>
      </c>
      <c r="AB82" t="s">
        <v>1623</v>
      </c>
      <c r="AC82" t="s">
        <v>1624</v>
      </c>
      <c r="AD82" t="s">
        <v>1625</v>
      </c>
      <c r="AE82" t="s">
        <v>1626</v>
      </c>
      <c r="AF82" t="s">
        <v>16</v>
      </c>
      <c r="AG82">
        <v>76</v>
      </c>
      <c r="AH82">
        <v>161</v>
      </c>
      <c r="AI82">
        <v>191</v>
      </c>
      <c r="AJ82">
        <v>2</v>
      </c>
      <c r="AK82">
        <v>96</v>
      </c>
      <c r="AL82" t="s">
        <v>1553</v>
      </c>
      <c r="AM82" t="s">
        <v>1554</v>
      </c>
      <c r="AN82" t="s">
        <v>1555</v>
      </c>
      <c r="AO82" t="s">
        <v>1556</v>
      </c>
      <c r="AP82" t="s">
        <v>16</v>
      </c>
      <c r="AQ82" t="s">
        <v>16</v>
      </c>
      <c r="AR82" t="s">
        <v>1541</v>
      </c>
      <c r="AS82" t="s">
        <v>1557</v>
      </c>
      <c r="AT82" t="s">
        <v>1627</v>
      </c>
      <c r="AU82">
        <v>2014</v>
      </c>
      <c r="AV82">
        <v>9</v>
      </c>
      <c r="AW82">
        <v>3</v>
      </c>
      <c r="AX82" t="s">
        <v>16</v>
      </c>
      <c r="AY82" t="s">
        <v>16</v>
      </c>
      <c r="AZ82" t="s">
        <v>16</v>
      </c>
      <c r="BA82" t="s">
        <v>16</v>
      </c>
      <c r="BB82" t="s">
        <v>16</v>
      </c>
      <c r="BC82" t="s">
        <v>16</v>
      </c>
      <c r="BD82" t="s">
        <v>1628</v>
      </c>
      <c r="BE82" t="s">
        <v>1629</v>
      </c>
      <c r="BF82" t="str">
        <f>HYPERLINK("http://dx.doi.org/10.1371/journal.pone.0093017","http://dx.doi.org/10.1371/journal.pone.0093017")</f>
        <v>http://dx.doi.org/10.1371/journal.pone.0093017</v>
      </c>
      <c r="BG82" t="s">
        <v>16</v>
      </c>
      <c r="BH82" t="s">
        <v>16</v>
      </c>
      <c r="BI82">
        <v>12</v>
      </c>
      <c r="BJ82" t="s">
        <v>296</v>
      </c>
      <c r="BK82" t="s">
        <v>73</v>
      </c>
      <c r="BL82" t="s">
        <v>297</v>
      </c>
      <c r="BM82" t="s">
        <v>1630</v>
      </c>
      <c r="BN82">
        <v>24663104</v>
      </c>
      <c r="BO82" t="s">
        <v>1631</v>
      </c>
      <c r="BP82" t="s">
        <v>16</v>
      </c>
      <c r="BQ82" t="s">
        <v>16</v>
      </c>
      <c r="BR82" t="s">
        <v>44</v>
      </c>
      <c r="BS82" t="s">
        <v>1632</v>
      </c>
      <c r="BT82" t="str">
        <f>HYPERLINK("https%3A%2F%2Fwww.webofscience.com%2Fwos%2Fwoscc%2Ffull-record%2FWOS:000333459900143","View Full Record in Web of Science")</f>
        <v>View Full Record in Web of Science</v>
      </c>
    </row>
    <row r="83" spans="1:72" x14ac:dyDescent="0.2">
      <c r="A83" t="s">
        <v>46</v>
      </c>
      <c r="B83" t="s">
        <v>1633</v>
      </c>
      <c r="C83" t="s">
        <v>16</v>
      </c>
      <c r="D83" t="s">
        <v>16</v>
      </c>
      <c r="E83" t="s">
        <v>16</v>
      </c>
      <c r="F83" t="s">
        <v>1634</v>
      </c>
      <c r="G83" t="s">
        <v>16</v>
      </c>
      <c r="H83" t="s">
        <v>16</v>
      </c>
      <c r="I83" t="s">
        <v>1635</v>
      </c>
      <c r="J83" t="s">
        <v>197</v>
      </c>
      <c r="K83" t="s">
        <v>16</v>
      </c>
      <c r="L83" t="s">
        <v>16</v>
      </c>
      <c r="M83" t="s">
        <v>22</v>
      </c>
      <c r="N83" t="s">
        <v>51</v>
      </c>
      <c r="O83" t="s">
        <v>16</v>
      </c>
      <c r="P83" t="s">
        <v>16</v>
      </c>
      <c r="Q83" t="s">
        <v>16</v>
      </c>
      <c r="R83" t="s">
        <v>16</v>
      </c>
      <c r="S83" t="s">
        <v>16</v>
      </c>
      <c r="T83" t="s">
        <v>1636</v>
      </c>
      <c r="U83" t="s">
        <v>1637</v>
      </c>
      <c r="V83" t="s">
        <v>1638</v>
      </c>
      <c r="W83" t="s">
        <v>1639</v>
      </c>
      <c r="X83" t="s">
        <v>1640</v>
      </c>
      <c r="Y83" t="s">
        <v>1641</v>
      </c>
      <c r="Z83" t="s">
        <v>1642</v>
      </c>
      <c r="AA83" t="s">
        <v>1643</v>
      </c>
      <c r="AB83" t="s">
        <v>16</v>
      </c>
      <c r="AC83" t="s">
        <v>1644</v>
      </c>
      <c r="AD83" t="s">
        <v>1645</v>
      </c>
      <c r="AE83" t="s">
        <v>1646</v>
      </c>
      <c r="AF83" t="s">
        <v>16</v>
      </c>
      <c r="AG83">
        <v>20</v>
      </c>
      <c r="AH83">
        <v>2</v>
      </c>
      <c r="AI83">
        <v>2</v>
      </c>
      <c r="AJ83">
        <v>1</v>
      </c>
      <c r="AK83">
        <v>9</v>
      </c>
      <c r="AL83" t="s">
        <v>206</v>
      </c>
      <c r="AM83" t="s">
        <v>207</v>
      </c>
      <c r="AN83" t="s">
        <v>208</v>
      </c>
      <c r="AO83" t="s">
        <v>209</v>
      </c>
      <c r="AP83" t="s">
        <v>16</v>
      </c>
      <c r="AQ83" t="s">
        <v>16</v>
      </c>
      <c r="AR83" t="s">
        <v>210</v>
      </c>
      <c r="AS83" t="s">
        <v>211</v>
      </c>
      <c r="AT83" t="s">
        <v>1647</v>
      </c>
      <c r="AU83">
        <v>2021</v>
      </c>
      <c r="AV83">
        <v>12</v>
      </c>
      <c r="AW83" t="s">
        <v>16</v>
      </c>
      <c r="AX83" t="s">
        <v>16</v>
      </c>
      <c r="AY83" t="s">
        <v>16</v>
      </c>
      <c r="AZ83" t="s">
        <v>16</v>
      </c>
      <c r="BA83" t="s">
        <v>16</v>
      </c>
      <c r="BB83" t="s">
        <v>16</v>
      </c>
      <c r="BC83" t="s">
        <v>16</v>
      </c>
      <c r="BD83">
        <v>544854</v>
      </c>
      <c r="BE83" t="s">
        <v>1648</v>
      </c>
      <c r="BF83" t="str">
        <f>HYPERLINK("http://dx.doi.org/10.3389/fpls.2021.544854","http://dx.doi.org/10.3389/fpls.2021.544854")</f>
        <v>http://dx.doi.org/10.3389/fpls.2021.544854</v>
      </c>
      <c r="BG83" t="s">
        <v>16</v>
      </c>
      <c r="BH83" t="s">
        <v>16</v>
      </c>
      <c r="BI83">
        <v>12</v>
      </c>
      <c r="BJ83" t="s">
        <v>214</v>
      </c>
      <c r="BK83" t="s">
        <v>73</v>
      </c>
      <c r="BL83" t="s">
        <v>214</v>
      </c>
      <c r="BM83" t="s">
        <v>1649</v>
      </c>
      <c r="BN83">
        <v>34220873</v>
      </c>
      <c r="BO83" t="s">
        <v>511</v>
      </c>
      <c r="BP83" t="s">
        <v>16</v>
      </c>
      <c r="BQ83" t="s">
        <v>16</v>
      </c>
      <c r="BR83" t="s">
        <v>44</v>
      </c>
      <c r="BS83" t="s">
        <v>1650</v>
      </c>
      <c r="BT83" t="str">
        <f>HYPERLINK("https%3A%2F%2Fwww.webofscience.com%2Fwos%2Fwoscc%2Ffull-record%2FWOS:000669049400001","View Full Record in Web of Science")</f>
        <v>View Full Record in Web of Science</v>
      </c>
    </row>
    <row r="84" spans="1:72" x14ac:dyDescent="0.2">
      <c r="A84" t="s">
        <v>46</v>
      </c>
      <c r="B84" t="s">
        <v>1651</v>
      </c>
      <c r="C84" t="s">
        <v>16</v>
      </c>
      <c r="D84" t="s">
        <v>16</v>
      </c>
      <c r="E84" t="s">
        <v>16</v>
      </c>
      <c r="F84" t="s">
        <v>1652</v>
      </c>
      <c r="G84" t="s">
        <v>16</v>
      </c>
      <c r="H84" t="s">
        <v>16</v>
      </c>
      <c r="I84" t="s">
        <v>1653</v>
      </c>
      <c r="J84" t="s">
        <v>1654</v>
      </c>
      <c r="K84" t="s">
        <v>16</v>
      </c>
      <c r="L84" t="s">
        <v>16</v>
      </c>
      <c r="M84" t="s">
        <v>22</v>
      </c>
      <c r="N84" t="s">
        <v>51</v>
      </c>
      <c r="O84" t="s">
        <v>16</v>
      </c>
      <c r="P84" t="s">
        <v>16</v>
      </c>
      <c r="Q84" t="s">
        <v>16</v>
      </c>
      <c r="R84" t="s">
        <v>16</v>
      </c>
      <c r="S84" t="s">
        <v>16</v>
      </c>
      <c r="T84" t="s">
        <v>1655</v>
      </c>
      <c r="U84" t="s">
        <v>1656</v>
      </c>
      <c r="V84" t="s">
        <v>1657</v>
      </c>
      <c r="W84" t="s">
        <v>1658</v>
      </c>
      <c r="X84" t="s">
        <v>1659</v>
      </c>
      <c r="Y84" t="s">
        <v>1660</v>
      </c>
      <c r="Z84" t="s">
        <v>1661</v>
      </c>
      <c r="AA84" t="s">
        <v>1662</v>
      </c>
      <c r="AB84" t="s">
        <v>1663</v>
      </c>
      <c r="AC84" t="s">
        <v>16</v>
      </c>
      <c r="AD84" t="s">
        <v>16</v>
      </c>
      <c r="AE84" t="s">
        <v>16</v>
      </c>
      <c r="AF84" t="s">
        <v>16</v>
      </c>
      <c r="AG84">
        <v>21</v>
      </c>
      <c r="AH84">
        <v>0</v>
      </c>
      <c r="AI84">
        <v>0</v>
      </c>
      <c r="AJ84">
        <v>0</v>
      </c>
      <c r="AK84">
        <v>9</v>
      </c>
      <c r="AL84" t="s">
        <v>1664</v>
      </c>
      <c r="AM84" t="s">
        <v>1665</v>
      </c>
      <c r="AN84" t="s">
        <v>1666</v>
      </c>
      <c r="AO84" t="s">
        <v>1667</v>
      </c>
      <c r="AP84" t="s">
        <v>16</v>
      </c>
      <c r="AQ84" t="s">
        <v>16</v>
      </c>
      <c r="AR84" t="s">
        <v>1668</v>
      </c>
      <c r="AS84" t="s">
        <v>1669</v>
      </c>
      <c r="AT84" t="s">
        <v>419</v>
      </c>
      <c r="AU84">
        <v>2011</v>
      </c>
      <c r="AV84">
        <v>12</v>
      </c>
      <c r="AW84">
        <v>2</v>
      </c>
      <c r="AX84" t="s">
        <v>16</v>
      </c>
      <c r="AY84" t="s">
        <v>16</v>
      </c>
      <c r="AZ84" t="s">
        <v>16</v>
      </c>
      <c r="BA84" t="s">
        <v>16</v>
      </c>
      <c r="BB84">
        <v>320</v>
      </c>
      <c r="BC84">
        <v>325</v>
      </c>
      <c r="BD84" t="s">
        <v>16</v>
      </c>
      <c r="BE84" t="s">
        <v>16</v>
      </c>
      <c r="BF84" t="s">
        <v>16</v>
      </c>
      <c r="BG84" t="s">
        <v>16</v>
      </c>
      <c r="BH84" t="s">
        <v>16</v>
      </c>
      <c r="BI84">
        <v>6</v>
      </c>
      <c r="BJ84" t="s">
        <v>40</v>
      </c>
      <c r="BK84" t="s">
        <v>73</v>
      </c>
      <c r="BL84" t="s">
        <v>42</v>
      </c>
      <c r="BM84" t="s">
        <v>1670</v>
      </c>
      <c r="BN84" t="s">
        <v>16</v>
      </c>
      <c r="BO84" t="s">
        <v>16</v>
      </c>
      <c r="BP84" t="s">
        <v>16</v>
      </c>
      <c r="BQ84" t="s">
        <v>16</v>
      </c>
      <c r="BR84" t="s">
        <v>44</v>
      </c>
      <c r="BS84" t="s">
        <v>1671</v>
      </c>
      <c r="BT84" t="str">
        <f>HYPERLINK("https%3A%2F%2Fwww.webofscience.com%2Fwos%2Fwoscc%2Ffull-record%2FWOS:000294585700013","View Full Record in Web of Science")</f>
        <v>View Full Record in Web of Science</v>
      </c>
    </row>
    <row r="85" spans="1:72" x14ac:dyDescent="0.2">
      <c r="A85" t="s">
        <v>46</v>
      </c>
      <c r="B85" t="s">
        <v>1672</v>
      </c>
      <c r="C85" t="s">
        <v>16</v>
      </c>
      <c r="D85" t="s">
        <v>16</v>
      </c>
      <c r="E85" t="s">
        <v>16</v>
      </c>
      <c r="F85" t="s">
        <v>1673</v>
      </c>
      <c r="G85" t="s">
        <v>16</v>
      </c>
      <c r="H85" t="s">
        <v>16</v>
      </c>
      <c r="I85" t="s">
        <v>1674</v>
      </c>
      <c r="J85" t="s">
        <v>1675</v>
      </c>
      <c r="K85" t="s">
        <v>16</v>
      </c>
      <c r="L85" t="s">
        <v>16</v>
      </c>
      <c r="M85" t="s">
        <v>22</v>
      </c>
      <c r="N85" t="s">
        <v>118</v>
      </c>
      <c r="O85" t="s">
        <v>16</v>
      </c>
      <c r="P85" t="s">
        <v>16</v>
      </c>
      <c r="Q85" t="s">
        <v>16</v>
      </c>
      <c r="R85" t="s">
        <v>16</v>
      </c>
      <c r="S85" t="s">
        <v>16</v>
      </c>
      <c r="T85" t="s">
        <v>1676</v>
      </c>
      <c r="U85" t="s">
        <v>1677</v>
      </c>
      <c r="V85" t="s">
        <v>1678</v>
      </c>
      <c r="W85" t="s">
        <v>1679</v>
      </c>
      <c r="X85" t="s">
        <v>1680</v>
      </c>
      <c r="Y85" t="s">
        <v>1681</v>
      </c>
      <c r="Z85" t="s">
        <v>1682</v>
      </c>
      <c r="AA85" t="s">
        <v>16</v>
      </c>
      <c r="AB85" t="s">
        <v>16</v>
      </c>
      <c r="AC85" t="s">
        <v>1683</v>
      </c>
      <c r="AD85" t="s">
        <v>1684</v>
      </c>
      <c r="AE85" t="s">
        <v>1685</v>
      </c>
      <c r="AF85" t="s">
        <v>16</v>
      </c>
      <c r="AG85">
        <v>68</v>
      </c>
      <c r="AH85">
        <v>11</v>
      </c>
      <c r="AI85">
        <v>16</v>
      </c>
      <c r="AJ85">
        <v>8</v>
      </c>
      <c r="AK85">
        <v>57</v>
      </c>
      <c r="AL85" t="s">
        <v>569</v>
      </c>
      <c r="AM85" t="s">
        <v>570</v>
      </c>
      <c r="AN85" t="s">
        <v>571</v>
      </c>
      <c r="AO85" t="s">
        <v>1686</v>
      </c>
      <c r="AP85" t="s">
        <v>1687</v>
      </c>
      <c r="AQ85" t="s">
        <v>16</v>
      </c>
      <c r="AR85" t="s">
        <v>1688</v>
      </c>
      <c r="AS85" t="s">
        <v>1689</v>
      </c>
      <c r="AT85" t="s">
        <v>419</v>
      </c>
      <c r="AU85">
        <v>2019</v>
      </c>
      <c r="AV85">
        <v>22</v>
      </c>
      <c r="AW85" t="s">
        <v>16</v>
      </c>
      <c r="AX85" t="s">
        <v>16</v>
      </c>
      <c r="AY85" t="s">
        <v>16</v>
      </c>
      <c r="AZ85" t="s">
        <v>16</v>
      </c>
      <c r="BA85" t="s">
        <v>16</v>
      </c>
      <c r="BB85">
        <v>1</v>
      </c>
      <c r="BC85">
        <v>7</v>
      </c>
      <c r="BD85" t="s">
        <v>16</v>
      </c>
      <c r="BE85" t="s">
        <v>1690</v>
      </c>
      <c r="BF85" t="str">
        <f>HYPERLINK("http://dx.doi.org/10.1016/j.lssr.2019.05.001","http://dx.doi.org/10.1016/j.lssr.2019.05.001")</f>
        <v>http://dx.doi.org/10.1016/j.lssr.2019.05.001</v>
      </c>
      <c r="BG85" t="s">
        <v>16</v>
      </c>
      <c r="BH85" t="s">
        <v>16</v>
      </c>
      <c r="BI85">
        <v>7</v>
      </c>
      <c r="BJ85" t="s">
        <v>296</v>
      </c>
      <c r="BK85" t="s">
        <v>73</v>
      </c>
      <c r="BL85" t="s">
        <v>1691</v>
      </c>
      <c r="BM85" t="s">
        <v>1692</v>
      </c>
      <c r="BN85">
        <v>31421843</v>
      </c>
      <c r="BO85" t="s">
        <v>16</v>
      </c>
      <c r="BP85" t="s">
        <v>16</v>
      </c>
      <c r="BQ85" t="s">
        <v>16</v>
      </c>
      <c r="BR85" t="s">
        <v>44</v>
      </c>
      <c r="BS85" t="s">
        <v>1693</v>
      </c>
      <c r="BT85" t="str">
        <f>HYPERLINK("https%3A%2F%2Fwww.webofscience.com%2Fwos%2Fwoscc%2Ffull-record%2FWOS:000481606800001","View Full Record in Web of Science")</f>
        <v>View Full Record in Web of Science</v>
      </c>
    </row>
    <row r="86" spans="1:72" x14ac:dyDescent="0.2">
      <c r="A86" t="s">
        <v>46</v>
      </c>
      <c r="B86" t="s">
        <v>1694</v>
      </c>
      <c r="C86" t="s">
        <v>16</v>
      </c>
      <c r="D86" t="s">
        <v>16</v>
      </c>
      <c r="E86" t="s">
        <v>16</v>
      </c>
      <c r="F86" t="s">
        <v>1694</v>
      </c>
      <c r="G86" t="s">
        <v>16</v>
      </c>
      <c r="H86" t="s">
        <v>16</v>
      </c>
      <c r="I86" t="s">
        <v>1695</v>
      </c>
      <c r="J86" t="s">
        <v>117</v>
      </c>
      <c r="K86" t="s">
        <v>16</v>
      </c>
      <c r="L86" t="s">
        <v>16</v>
      </c>
      <c r="M86" t="s">
        <v>22</v>
      </c>
      <c r="N86" t="s">
        <v>51</v>
      </c>
      <c r="O86" t="s">
        <v>16</v>
      </c>
      <c r="P86" t="s">
        <v>16</v>
      </c>
      <c r="Q86" t="s">
        <v>16</v>
      </c>
      <c r="R86" t="s">
        <v>16</v>
      </c>
      <c r="S86" t="s">
        <v>16</v>
      </c>
      <c r="T86" t="s">
        <v>16</v>
      </c>
      <c r="U86" t="s">
        <v>1696</v>
      </c>
      <c r="V86" t="s">
        <v>1697</v>
      </c>
      <c r="W86" t="s">
        <v>1698</v>
      </c>
      <c r="X86" t="s">
        <v>1699</v>
      </c>
      <c r="Y86" t="s">
        <v>1700</v>
      </c>
      <c r="Z86" t="s">
        <v>1701</v>
      </c>
      <c r="AA86" t="s">
        <v>1702</v>
      </c>
      <c r="AB86" t="s">
        <v>16</v>
      </c>
      <c r="AC86" t="s">
        <v>16</v>
      </c>
      <c r="AD86" t="s">
        <v>16</v>
      </c>
      <c r="AE86" t="s">
        <v>16</v>
      </c>
      <c r="AF86" t="s">
        <v>16</v>
      </c>
      <c r="AG86">
        <v>29</v>
      </c>
      <c r="AH86">
        <v>27</v>
      </c>
      <c r="AI86">
        <v>31</v>
      </c>
      <c r="AJ86">
        <v>0</v>
      </c>
      <c r="AK86">
        <v>5</v>
      </c>
      <c r="AL86" t="s">
        <v>128</v>
      </c>
      <c r="AM86" t="s">
        <v>129</v>
      </c>
      <c r="AN86" t="s">
        <v>1703</v>
      </c>
      <c r="AO86" t="s">
        <v>131</v>
      </c>
      <c r="AP86" t="s">
        <v>132</v>
      </c>
      <c r="AQ86" t="s">
        <v>16</v>
      </c>
      <c r="AR86" t="s">
        <v>133</v>
      </c>
      <c r="AS86" t="s">
        <v>134</v>
      </c>
      <c r="AT86" t="s">
        <v>1138</v>
      </c>
      <c r="AU86">
        <v>2004</v>
      </c>
      <c r="AV86">
        <v>109</v>
      </c>
      <c r="AW86">
        <v>2</v>
      </c>
      <c r="AX86" t="s">
        <v>16</v>
      </c>
      <c r="AY86" t="s">
        <v>16</v>
      </c>
      <c r="AZ86" t="s">
        <v>16</v>
      </c>
      <c r="BA86" t="s">
        <v>16</v>
      </c>
      <c r="BB86">
        <v>370</v>
      </c>
      <c r="BC86">
        <v>376</v>
      </c>
      <c r="BD86" t="s">
        <v>16</v>
      </c>
      <c r="BE86" t="s">
        <v>1704</v>
      </c>
      <c r="BF86" t="str">
        <f>HYPERLINK("http://dx.doi.org/10.1007/s00122-004-1636-6","http://dx.doi.org/10.1007/s00122-004-1636-6")</f>
        <v>http://dx.doi.org/10.1007/s00122-004-1636-6</v>
      </c>
      <c r="BG86" t="s">
        <v>16</v>
      </c>
      <c r="BH86" t="s">
        <v>16</v>
      </c>
      <c r="BI86">
        <v>7</v>
      </c>
      <c r="BJ86" t="s">
        <v>296</v>
      </c>
      <c r="BK86" t="s">
        <v>73</v>
      </c>
      <c r="BL86" t="s">
        <v>137</v>
      </c>
      <c r="BM86" t="s">
        <v>1705</v>
      </c>
      <c r="BN86">
        <v>15069599</v>
      </c>
      <c r="BO86" t="s">
        <v>16</v>
      </c>
      <c r="BP86" t="s">
        <v>16</v>
      </c>
      <c r="BQ86" t="s">
        <v>16</v>
      </c>
      <c r="BR86" t="s">
        <v>44</v>
      </c>
      <c r="BS86" t="s">
        <v>1706</v>
      </c>
      <c r="BT86" t="str">
        <f>HYPERLINK("https%3A%2F%2Fwww.webofscience.com%2Fwos%2Fwoscc%2Ffull-record%2FWOS:000223011800015","View Full Record in Web of Science")</f>
        <v>View Full Record in Web of Science</v>
      </c>
    </row>
    <row r="87" spans="1:72" x14ac:dyDescent="0.2">
      <c r="A87" t="s">
        <v>46</v>
      </c>
      <c r="B87" t="s">
        <v>1707</v>
      </c>
      <c r="C87" t="s">
        <v>16</v>
      </c>
      <c r="D87" t="s">
        <v>16</v>
      </c>
      <c r="E87" t="s">
        <v>16</v>
      </c>
      <c r="F87" t="s">
        <v>1708</v>
      </c>
      <c r="G87" t="s">
        <v>16</v>
      </c>
      <c r="H87" t="s">
        <v>16</v>
      </c>
      <c r="I87" t="s">
        <v>1709</v>
      </c>
      <c r="J87" t="s">
        <v>326</v>
      </c>
      <c r="K87" t="s">
        <v>16</v>
      </c>
      <c r="L87" t="s">
        <v>16</v>
      </c>
      <c r="M87" t="s">
        <v>22</v>
      </c>
      <c r="N87" t="s">
        <v>118</v>
      </c>
      <c r="O87" t="s">
        <v>16</v>
      </c>
      <c r="P87" t="s">
        <v>16</v>
      </c>
      <c r="Q87" t="s">
        <v>16</v>
      </c>
      <c r="R87" t="s">
        <v>16</v>
      </c>
      <c r="S87" t="s">
        <v>16</v>
      </c>
      <c r="T87" t="s">
        <v>16</v>
      </c>
      <c r="U87" t="s">
        <v>1710</v>
      </c>
      <c r="V87" t="s">
        <v>1711</v>
      </c>
      <c r="W87" t="s">
        <v>1712</v>
      </c>
      <c r="X87" t="s">
        <v>1713</v>
      </c>
      <c r="Y87" t="s">
        <v>1714</v>
      </c>
      <c r="Z87" t="s">
        <v>1715</v>
      </c>
      <c r="AA87" t="s">
        <v>1716</v>
      </c>
      <c r="AB87" t="s">
        <v>1717</v>
      </c>
      <c r="AC87" t="s">
        <v>1718</v>
      </c>
      <c r="AD87" t="s">
        <v>1719</v>
      </c>
      <c r="AE87" t="s">
        <v>1720</v>
      </c>
      <c r="AF87" t="s">
        <v>16</v>
      </c>
      <c r="AG87">
        <v>136</v>
      </c>
      <c r="AH87">
        <v>611</v>
      </c>
      <c r="AI87">
        <v>698</v>
      </c>
      <c r="AJ87">
        <v>2</v>
      </c>
      <c r="AK87">
        <v>209</v>
      </c>
      <c r="AL87" t="s">
        <v>332</v>
      </c>
      <c r="AM87" t="s">
        <v>333</v>
      </c>
      <c r="AN87" t="s">
        <v>334</v>
      </c>
      <c r="AO87" t="s">
        <v>335</v>
      </c>
      <c r="AP87" t="s">
        <v>336</v>
      </c>
      <c r="AQ87" t="s">
        <v>16</v>
      </c>
      <c r="AR87" t="s">
        <v>326</v>
      </c>
      <c r="AS87" t="s">
        <v>337</v>
      </c>
      <c r="AT87" t="s">
        <v>1533</v>
      </c>
      <c r="AU87">
        <v>2013</v>
      </c>
      <c r="AV87">
        <v>193</v>
      </c>
      <c r="AW87">
        <v>2</v>
      </c>
      <c r="AX87" t="s">
        <v>16</v>
      </c>
      <c r="AY87" t="s">
        <v>16</v>
      </c>
      <c r="AZ87" t="s">
        <v>16</v>
      </c>
      <c r="BA87" t="s">
        <v>16</v>
      </c>
      <c r="BB87">
        <v>327</v>
      </c>
      <c r="BC87" t="s">
        <v>1721</v>
      </c>
      <c r="BD87" t="s">
        <v>16</v>
      </c>
      <c r="BE87" t="s">
        <v>1722</v>
      </c>
      <c r="BF87" t="str">
        <f>HYPERLINK("http://dx.doi.org/10.1534/genetics.112.143313","http://dx.doi.org/10.1534/genetics.112.143313")</f>
        <v>http://dx.doi.org/10.1534/genetics.112.143313</v>
      </c>
      <c r="BG87" t="s">
        <v>16</v>
      </c>
      <c r="BH87" t="s">
        <v>16</v>
      </c>
      <c r="BI87">
        <v>25</v>
      </c>
      <c r="BJ87" t="s">
        <v>339</v>
      </c>
      <c r="BK87" t="s">
        <v>73</v>
      </c>
      <c r="BL87" t="s">
        <v>339</v>
      </c>
      <c r="BM87" t="s">
        <v>1723</v>
      </c>
      <c r="BN87">
        <v>22745228</v>
      </c>
      <c r="BO87" t="s">
        <v>341</v>
      </c>
      <c r="BP87" t="s">
        <v>16</v>
      </c>
      <c r="BQ87" t="s">
        <v>16</v>
      </c>
      <c r="BR87" t="s">
        <v>44</v>
      </c>
      <c r="BS87" t="s">
        <v>1724</v>
      </c>
      <c r="BT87" t="str">
        <f>HYPERLINK("https%3A%2F%2Fwww.webofscience.com%2Fwos%2Fwoscc%2Ffull-record%2FWOS:000314821300002","View Full Record in Web of Science")</f>
        <v>View Full Record in Web of Science</v>
      </c>
    </row>
    <row r="88" spans="1:72" x14ac:dyDescent="0.2">
      <c r="A88" t="s">
        <v>46</v>
      </c>
      <c r="B88" t="s">
        <v>1725</v>
      </c>
      <c r="C88" t="s">
        <v>16</v>
      </c>
      <c r="D88" t="s">
        <v>16</v>
      </c>
      <c r="E88" t="s">
        <v>16</v>
      </c>
      <c r="F88" t="s">
        <v>1725</v>
      </c>
      <c r="G88" t="s">
        <v>16</v>
      </c>
      <c r="H88" t="s">
        <v>16</v>
      </c>
      <c r="I88" t="s">
        <v>1726</v>
      </c>
      <c r="J88" t="s">
        <v>346</v>
      </c>
      <c r="K88" t="s">
        <v>16</v>
      </c>
      <c r="L88" t="s">
        <v>16</v>
      </c>
      <c r="M88" t="s">
        <v>22</v>
      </c>
      <c r="N88" t="s">
        <v>118</v>
      </c>
      <c r="O88" t="s">
        <v>16</v>
      </c>
      <c r="P88" t="s">
        <v>16</v>
      </c>
      <c r="Q88" t="s">
        <v>16</v>
      </c>
      <c r="R88" t="s">
        <v>16</v>
      </c>
      <c r="S88" t="s">
        <v>16</v>
      </c>
      <c r="T88" t="s">
        <v>1727</v>
      </c>
      <c r="U88" t="s">
        <v>1728</v>
      </c>
      <c r="V88" t="s">
        <v>1729</v>
      </c>
      <c r="W88" t="s">
        <v>1730</v>
      </c>
      <c r="X88" t="s">
        <v>1731</v>
      </c>
      <c r="Y88" t="s">
        <v>1732</v>
      </c>
      <c r="Z88" t="s">
        <v>16</v>
      </c>
      <c r="AA88" t="s">
        <v>16</v>
      </c>
      <c r="AB88" t="s">
        <v>1733</v>
      </c>
      <c r="AC88" t="s">
        <v>16</v>
      </c>
      <c r="AD88" t="s">
        <v>16</v>
      </c>
      <c r="AE88" t="s">
        <v>16</v>
      </c>
      <c r="AF88" t="s">
        <v>16</v>
      </c>
      <c r="AG88">
        <v>41</v>
      </c>
      <c r="AH88">
        <v>168</v>
      </c>
      <c r="AI88">
        <v>221</v>
      </c>
      <c r="AJ88">
        <v>3</v>
      </c>
      <c r="AK88">
        <v>41</v>
      </c>
      <c r="AL88" t="s">
        <v>224</v>
      </c>
      <c r="AM88" t="s">
        <v>225</v>
      </c>
      <c r="AN88" t="s">
        <v>226</v>
      </c>
      <c r="AO88" t="s">
        <v>358</v>
      </c>
      <c r="AP88" t="s">
        <v>16</v>
      </c>
      <c r="AQ88" t="s">
        <v>16</v>
      </c>
      <c r="AR88" t="s">
        <v>360</v>
      </c>
      <c r="AS88" t="s">
        <v>361</v>
      </c>
      <c r="AT88" t="s">
        <v>318</v>
      </c>
      <c r="AU88">
        <v>1999</v>
      </c>
      <c r="AV88">
        <v>5</v>
      </c>
      <c r="AW88">
        <v>6</v>
      </c>
      <c r="AX88" t="s">
        <v>16</v>
      </c>
      <c r="AY88" t="s">
        <v>16</v>
      </c>
      <c r="AZ88" t="s">
        <v>16</v>
      </c>
      <c r="BA88" t="s">
        <v>16</v>
      </c>
      <c r="BB88">
        <v>505</v>
      </c>
      <c r="BC88">
        <v>510</v>
      </c>
      <c r="BD88" t="s">
        <v>16</v>
      </c>
      <c r="BE88" t="s">
        <v>16</v>
      </c>
      <c r="BF88" t="s">
        <v>16</v>
      </c>
      <c r="BG88" t="s">
        <v>16</v>
      </c>
      <c r="BH88" t="s">
        <v>16</v>
      </c>
      <c r="BI88">
        <v>6</v>
      </c>
      <c r="BJ88" t="s">
        <v>296</v>
      </c>
      <c r="BK88" t="s">
        <v>73</v>
      </c>
      <c r="BL88" t="s">
        <v>137</v>
      </c>
      <c r="BM88" t="s">
        <v>1734</v>
      </c>
      <c r="BN88" t="s">
        <v>16</v>
      </c>
      <c r="BO88" t="s">
        <v>16</v>
      </c>
      <c r="BP88" t="s">
        <v>16</v>
      </c>
      <c r="BQ88" t="s">
        <v>16</v>
      </c>
      <c r="BR88" t="s">
        <v>44</v>
      </c>
      <c r="BS88" t="s">
        <v>1735</v>
      </c>
      <c r="BT88" t="str">
        <f>HYPERLINK("https%3A%2F%2Fwww.webofscience.com%2Fwos%2Fwoscc%2Ffull-record%2FWOS:000084983100002","View Full Record in Web of Science")</f>
        <v>View Full Record in Web of Science</v>
      </c>
    </row>
    <row r="89" spans="1:72" x14ac:dyDescent="0.2">
      <c r="A89" t="s">
        <v>46</v>
      </c>
      <c r="B89" t="s">
        <v>1736</v>
      </c>
      <c r="C89" t="s">
        <v>16</v>
      </c>
      <c r="D89" t="s">
        <v>16</v>
      </c>
      <c r="E89" t="s">
        <v>16</v>
      </c>
      <c r="F89" t="s">
        <v>1736</v>
      </c>
      <c r="G89" t="s">
        <v>16</v>
      </c>
      <c r="H89" t="s">
        <v>16</v>
      </c>
      <c r="I89" t="s">
        <v>1737</v>
      </c>
      <c r="J89" t="s">
        <v>117</v>
      </c>
      <c r="K89" t="s">
        <v>16</v>
      </c>
      <c r="L89" t="s">
        <v>16</v>
      </c>
      <c r="M89" t="s">
        <v>22</v>
      </c>
      <c r="N89" t="s">
        <v>51</v>
      </c>
      <c r="O89" t="s">
        <v>16</v>
      </c>
      <c r="P89" t="s">
        <v>16</v>
      </c>
      <c r="Q89" t="s">
        <v>16</v>
      </c>
      <c r="R89" t="s">
        <v>16</v>
      </c>
      <c r="S89" t="s">
        <v>16</v>
      </c>
      <c r="T89" t="s">
        <v>1738</v>
      </c>
      <c r="U89" t="s">
        <v>1739</v>
      </c>
      <c r="V89" t="s">
        <v>1740</v>
      </c>
      <c r="W89" t="s">
        <v>16</v>
      </c>
      <c r="X89" t="s">
        <v>16</v>
      </c>
      <c r="Y89" t="s">
        <v>1741</v>
      </c>
      <c r="Z89" t="s">
        <v>16</v>
      </c>
      <c r="AA89" t="s">
        <v>16</v>
      </c>
      <c r="AB89" t="s">
        <v>16</v>
      </c>
      <c r="AC89" t="s">
        <v>16</v>
      </c>
      <c r="AD89" t="s">
        <v>16</v>
      </c>
      <c r="AE89" t="s">
        <v>16</v>
      </c>
      <c r="AF89" t="s">
        <v>16</v>
      </c>
      <c r="AG89">
        <v>25</v>
      </c>
      <c r="AH89">
        <v>147</v>
      </c>
      <c r="AI89">
        <v>166</v>
      </c>
      <c r="AJ89">
        <v>0</v>
      </c>
      <c r="AK89">
        <v>20</v>
      </c>
      <c r="AL89" t="s">
        <v>1742</v>
      </c>
      <c r="AM89" t="s">
        <v>129</v>
      </c>
      <c r="AN89" t="s">
        <v>1743</v>
      </c>
      <c r="AO89" t="s">
        <v>131</v>
      </c>
      <c r="AP89" t="s">
        <v>16</v>
      </c>
      <c r="AQ89" t="s">
        <v>16</v>
      </c>
      <c r="AR89" t="s">
        <v>133</v>
      </c>
      <c r="AS89" t="s">
        <v>134</v>
      </c>
      <c r="AT89" t="s">
        <v>16</v>
      </c>
      <c r="AU89">
        <v>1991</v>
      </c>
      <c r="AV89">
        <v>82</v>
      </c>
      <c r="AW89">
        <v>3</v>
      </c>
      <c r="AX89" t="s">
        <v>16</v>
      </c>
      <c r="AY89" t="s">
        <v>16</v>
      </c>
      <c r="AZ89" t="s">
        <v>16</v>
      </c>
      <c r="BA89" t="s">
        <v>16</v>
      </c>
      <c r="BB89">
        <v>363</v>
      </c>
      <c r="BC89">
        <v>367</v>
      </c>
      <c r="BD89" t="s">
        <v>16</v>
      </c>
      <c r="BE89" t="s">
        <v>1744</v>
      </c>
      <c r="BF89" t="str">
        <f>HYPERLINK("http://dx.doi.org/10.1007/BF02190624","http://dx.doi.org/10.1007/BF02190624")</f>
        <v>http://dx.doi.org/10.1007/BF02190624</v>
      </c>
      <c r="BG89" t="s">
        <v>16</v>
      </c>
      <c r="BH89" t="s">
        <v>16</v>
      </c>
      <c r="BI89">
        <v>5</v>
      </c>
      <c r="BJ89" t="s">
        <v>296</v>
      </c>
      <c r="BK89" t="s">
        <v>73</v>
      </c>
      <c r="BL89" t="s">
        <v>137</v>
      </c>
      <c r="BM89" t="s">
        <v>1745</v>
      </c>
      <c r="BN89">
        <v>24213182</v>
      </c>
      <c r="BO89" t="s">
        <v>16</v>
      </c>
      <c r="BP89" t="s">
        <v>16</v>
      </c>
      <c r="BQ89" t="s">
        <v>16</v>
      </c>
      <c r="BR89" t="s">
        <v>44</v>
      </c>
      <c r="BS89" t="s">
        <v>1746</v>
      </c>
      <c r="BT89" t="str">
        <f>HYPERLINK("https%3A%2F%2Fwww.webofscience.com%2Fwos%2Fwoscc%2Ffull-record%2FWOS:A1991GE54600015","View Full Record in Web of Science")</f>
        <v>View Full Record in Web of Science</v>
      </c>
    </row>
    <row r="90" spans="1:72" x14ac:dyDescent="0.2">
      <c r="A90" t="s">
        <v>46</v>
      </c>
      <c r="B90" t="s">
        <v>1747</v>
      </c>
      <c r="C90" t="s">
        <v>16</v>
      </c>
      <c r="D90" t="s">
        <v>16</v>
      </c>
      <c r="E90" t="s">
        <v>16</v>
      </c>
      <c r="F90" t="s">
        <v>1748</v>
      </c>
      <c r="G90" t="s">
        <v>16</v>
      </c>
      <c r="H90" t="s">
        <v>16</v>
      </c>
      <c r="I90" t="s">
        <v>1749</v>
      </c>
      <c r="J90" t="s">
        <v>117</v>
      </c>
      <c r="K90" t="s">
        <v>16</v>
      </c>
      <c r="L90" t="s">
        <v>16</v>
      </c>
      <c r="M90" t="s">
        <v>22</v>
      </c>
      <c r="N90" t="s">
        <v>51</v>
      </c>
      <c r="O90" t="s">
        <v>16</v>
      </c>
      <c r="P90" t="s">
        <v>16</v>
      </c>
      <c r="Q90" t="s">
        <v>16</v>
      </c>
      <c r="R90" t="s">
        <v>16</v>
      </c>
      <c r="S90" t="s">
        <v>16</v>
      </c>
      <c r="T90" t="s">
        <v>16</v>
      </c>
      <c r="U90" t="s">
        <v>1750</v>
      </c>
      <c r="V90" t="s">
        <v>1751</v>
      </c>
      <c r="W90" t="s">
        <v>1752</v>
      </c>
      <c r="X90" t="s">
        <v>1753</v>
      </c>
      <c r="Y90" t="s">
        <v>1754</v>
      </c>
      <c r="Z90" t="s">
        <v>1755</v>
      </c>
      <c r="AA90" t="s">
        <v>1756</v>
      </c>
      <c r="AB90" t="s">
        <v>1757</v>
      </c>
      <c r="AC90" t="s">
        <v>16</v>
      </c>
      <c r="AD90" t="s">
        <v>16</v>
      </c>
      <c r="AE90" t="s">
        <v>16</v>
      </c>
      <c r="AF90" t="s">
        <v>16</v>
      </c>
      <c r="AG90">
        <v>35</v>
      </c>
      <c r="AH90">
        <v>33</v>
      </c>
      <c r="AI90">
        <v>49</v>
      </c>
      <c r="AJ90">
        <v>0</v>
      </c>
      <c r="AK90">
        <v>19</v>
      </c>
      <c r="AL90" t="s">
        <v>128</v>
      </c>
      <c r="AM90" t="s">
        <v>129</v>
      </c>
      <c r="AN90" t="s">
        <v>1703</v>
      </c>
      <c r="AO90" t="s">
        <v>131</v>
      </c>
      <c r="AP90" t="s">
        <v>132</v>
      </c>
      <c r="AQ90" t="s">
        <v>16</v>
      </c>
      <c r="AR90" t="s">
        <v>133</v>
      </c>
      <c r="AS90" t="s">
        <v>134</v>
      </c>
      <c r="AT90" t="s">
        <v>1233</v>
      </c>
      <c r="AU90">
        <v>2012</v>
      </c>
      <c r="AV90">
        <v>124</v>
      </c>
      <c r="AW90">
        <v>6</v>
      </c>
      <c r="AX90" t="s">
        <v>16</v>
      </c>
      <c r="AY90" t="s">
        <v>16</v>
      </c>
      <c r="AZ90" t="s">
        <v>16</v>
      </c>
      <c r="BA90" t="s">
        <v>16</v>
      </c>
      <c r="BB90">
        <v>1097</v>
      </c>
      <c r="BC90">
        <v>1113</v>
      </c>
      <c r="BD90" t="s">
        <v>16</v>
      </c>
      <c r="BE90" t="s">
        <v>1758</v>
      </c>
      <c r="BF90" t="str">
        <f>HYPERLINK("http://dx.doi.org/10.1007/s00122-011-1772-8","http://dx.doi.org/10.1007/s00122-011-1772-8")</f>
        <v>http://dx.doi.org/10.1007/s00122-011-1772-8</v>
      </c>
      <c r="BG90" t="s">
        <v>16</v>
      </c>
      <c r="BH90" t="s">
        <v>16</v>
      </c>
      <c r="BI90">
        <v>17</v>
      </c>
      <c r="BJ90" t="s">
        <v>296</v>
      </c>
      <c r="BK90" t="s">
        <v>73</v>
      </c>
      <c r="BL90" t="s">
        <v>137</v>
      </c>
      <c r="BM90" t="s">
        <v>1759</v>
      </c>
      <c r="BN90">
        <v>22228242</v>
      </c>
      <c r="BO90" t="s">
        <v>385</v>
      </c>
      <c r="BP90" t="s">
        <v>16</v>
      </c>
      <c r="BQ90" t="s">
        <v>16</v>
      </c>
      <c r="BR90" t="s">
        <v>44</v>
      </c>
      <c r="BS90" t="s">
        <v>1760</v>
      </c>
      <c r="BT90" t="str">
        <f>HYPERLINK("https%3A%2F%2Fwww.webofscience.com%2Fwos%2Fwoscc%2Ffull-record%2FWOS:000301780200011","View Full Record in Web of Science")</f>
        <v>View Full Record in Web of Science</v>
      </c>
    </row>
    <row r="91" spans="1:72" x14ac:dyDescent="0.2">
      <c r="A91" t="s">
        <v>46</v>
      </c>
      <c r="B91" t="s">
        <v>1761</v>
      </c>
      <c r="C91" t="s">
        <v>16</v>
      </c>
      <c r="D91" t="s">
        <v>16</v>
      </c>
      <c r="E91" t="s">
        <v>16</v>
      </c>
      <c r="F91" t="s">
        <v>1762</v>
      </c>
      <c r="G91" t="s">
        <v>16</v>
      </c>
      <c r="H91" t="s">
        <v>16</v>
      </c>
      <c r="I91" t="s">
        <v>1763</v>
      </c>
      <c r="J91" t="s">
        <v>1764</v>
      </c>
      <c r="K91" t="s">
        <v>16</v>
      </c>
      <c r="L91" t="s">
        <v>16</v>
      </c>
      <c r="M91" t="s">
        <v>22</v>
      </c>
      <c r="N91" t="s">
        <v>51</v>
      </c>
      <c r="O91" t="s">
        <v>16</v>
      </c>
      <c r="P91" t="s">
        <v>16</v>
      </c>
      <c r="Q91" t="s">
        <v>16</v>
      </c>
      <c r="R91" t="s">
        <v>16</v>
      </c>
      <c r="S91" t="s">
        <v>16</v>
      </c>
      <c r="T91" t="s">
        <v>1765</v>
      </c>
      <c r="U91" t="s">
        <v>16</v>
      </c>
      <c r="V91" t="s">
        <v>1766</v>
      </c>
      <c r="W91" t="s">
        <v>1767</v>
      </c>
      <c r="X91" t="s">
        <v>1768</v>
      </c>
      <c r="Y91" t="s">
        <v>1769</v>
      </c>
      <c r="Z91" t="s">
        <v>1770</v>
      </c>
      <c r="AA91" t="s">
        <v>1771</v>
      </c>
      <c r="AB91" t="s">
        <v>1772</v>
      </c>
      <c r="AC91" t="s">
        <v>16</v>
      </c>
      <c r="AD91" t="s">
        <v>16</v>
      </c>
      <c r="AE91" t="s">
        <v>16</v>
      </c>
      <c r="AF91" t="s">
        <v>16</v>
      </c>
      <c r="AG91">
        <v>24</v>
      </c>
      <c r="AH91">
        <v>18</v>
      </c>
      <c r="AI91">
        <v>20</v>
      </c>
      <c r="AJ91">
        <v>0</v>
      </c>
      <c r="AK91">
        <v>2</v>
      </c>
      <c r="AL91" t="s">
        <v>1773</v>
      </c>
      <c r="AM91" t="s">
        <v>1774</v>
      </c>
      <c r="AN91" t="s">
        <v>1775</v>
      </c>
      <c r="AO91" t="s">
        <v>1776</v>
      </c>
      <c r="AP91" t="s">
        <v>1777</v>
      </c>
      <c r="AQ91" t="s">
        <v>16</v>
      </c>
      <c r="AR91" t="s">
        <v>1778</v>
      </c>
      <c r="AS91" t="s">
        <v>1779</v>
      </c>
      <c r="AT91" t="s">
        <v>623</v>
      </c>
      <c r="AU91">
        <v>2008</v>
      </c>
      <c r="AV91">
        <v>31</v>
      </c>
      <c r="AW91">
        <v>1</v>
      </c>
      <c r="AX91" t="s">
        <v>16</v>
      </c>
      <c r="AY91" t="s">
        <v>16</v>
      </c>
      <c r="AZ91" t="s">
        <v>16</v>
      </c>
      <c r="BA91" t="s">
        <v>16</v>
      </c>
      <c r="BB91">
        <v>73</v>
      </c>
      <c r="BC91">
        <v>78</v>
      </c>
      <c r="BD91" t="s">
        <v>16</v>
      </c>
      <c r="BE91" t="s">
        <v>1780</v>
      </c>
      <c r="BF91" t="str">
        <f>HYPERLINK("http://dx.doi.org/10.1590/S1415-47572008000100015","http://dx.doi.org/10.1590/S1415-47572008000100015")</f>
        <v>http://dx.doi.org/10.1590/S1415-47572008000100015</v>
      </c>
      <c r="BG91" t="s">
        <v>16</v>
      </c>
      <c r="BH91" t="s">
        <v>16</v>
      </c>
      <c r="BI91">
        <v>6</v>
      </c>
      <c r="BJ91" t="s">
        <v>296</v>
      </c>
      <c r="BK91" t="s">
        <v>73</v>
      </c>
      <c r="BL91" t="s">
        <v>1076</v>
      </c>
      <c r="BM91" t="s">
        <v>1781</v>
      </c>
      <c r="BN91" t="s">
        <v>16</v>
      </c>
      <c r="BO91" t="s">
        <v>815</v>
      </c>
      <c r="BP91" t="s">
        <v>16</v>
      </c>
      <c r="BQ91" t="s">
        <v>16</v>
      </c>
      <c r="BR91" t="s">
        <v>44</v>
      </c>
      <c r="BS91" t="s">
        <v>1782</v>
      </c>
      <c r="BT91" t="str">
        <f>HYPERLINK("https%3A%2F%2Fwww.webofscience.com%2Fwos%2Fwoscc%2Ffull-record%2FWOS:000254487000015","View Full Record in Web of Science")</f>
        <v>View Full Record in Web of Science</v>
      </c>
    </row>
    <row r="92" spans="1:72" x14ac:dyDescent="0.2">
      <c r="A92" t="s">
        <v>46</v>
      </c>
      <c r="B92" t="s">
        <v>1783</v>
      </c>
      <c r="C92" t="s">
        <v>16</v>
      </c>
      <c r="D92" t="s">
        <v>16</v>
      </c>
      <c r="E92" t="s">
        <v>16</v>
      </c>
      <c r="F92" t="s">
        <v>1784</v>
      </c>
      <c r="G92" t="s">
        <v>16</v>
      </c>
      <c r="H92" t="s">
        <v>16</v>
      </c>
      <c r="I92" t="s">
        <v>1785</v>
      </c>
      <c r="J92" t="s">
        <v>197</v>
      </c>
      <c r="K92" t="s">
        <v>16</v>
      </c>
      <c r="L92" t="s">
        <v>16</v>
      </c>
      <c r="M92" t="s">
        <v>22</v>
      </c>
      <c r="N92" t="s">
        <v>51</v>
      </c>
      <c r="O92" t="s">
        <v>16</v>
      </c>
      <c r="P92" t="s">
        <v>16</v>
      </c>
      <c r="Q92" t="s">
        <v>16</v>
      </c>
      <c r="R92" t="s">
        <v>16</v>
      </c>
      <c r="S92" t="s">
        <v>16</v>
      </c>
      <c r="T92" t="s">
        <v>1786</v>
      </c>
      <c r="U92" t="s">
        <v>1787</v>
      </c>
      <c r="V92" t="s">
        <v>1788</v>
      </c>
      <c r="W92" t="s">
        <v>1789</v>
      </c>
      <c r="X92" t="s">
        <v>1790</v>
      </c>
      <c r="Y92" t="s">
        <v>1791</v>
      </c>
      <c r="Z92" t="s">
        <v>1792</v>
      </c>
      <c r="AA92" t="s">
        <v>1793</v>
      </c>
      <c r="AB92" t="s">
        <v>1794</v>
      </c>
      <c r="AC92" t="s">
        <v>1795</v>
      </c>
      <c r="AD92" t="s">
        <v>1796</v>
      </c>
      <c r="AE92" t="s">
        <v>1797</v>
      </c>
      <c r="AF92" t="s">
        <v>16</v>
      </c>
      <c r="AG92">
        <v>39</v>
      </c>
      <c r="AH92">
        <v>23</v>
      </c>
      <c r="AI92">
        <v>23</v>
      </c>
      <c r="AJ92">
        <v>0</v>
      </c>
      <c r="AK92">
        <v>8</v>
      </c>
      <c r="AL92" t="s">
        <v>206</v>
      </c>
      <c r="AM92" t="s">
        <v>207</v>
      </c>
      <c r="AN92" t="s">
        <v>208</v>
      </c>
      <c r="AO92" t="s">
        <v>209</v>
      </c>
      <c r="AP92" t="s">
        <v>16</v>
      </c>
      <c r="AQ92" t="s">
        <v>16</v>
      </c>
      <c r="AR92" t="s">
        <v>210</v>
      </c>
      <c r="AS92" t="s">
        <v>211</v>
      </c>
      <c r="AT92" t="s">
        <v>1798</v>
      </c>
      <c r="AU92">
        <v>2022</v>
      </c>
      <c r="AV92">
        <v>12</v>
      </c>
      <c r="AW92" t="s">
        <v>16</v>
      </c>
      <c r="AX92" t="s">
        <v>16</v>
      </c>
      <c r="AY92" t="s">
        <v>16</v>
      </c>
      <c r="AZ92" t="s">
        <v>16</v>
      </c>
      <c r="BA92" t="s">
        <v>16</v>
      </c>
      <c r="BB92" t="s">
        <v>16</v>
      </c>
      <c r="BC92" t="s">
        <v>16</v>
      </c>
      <c r="BD92">
        <v>791859</v>
      </c>
      <c r="BE92" t="s">
        <v>1799</v>
      </c>
      <c r="BF92" t="str">
        <f>HYPERLINK("http://dx.doi.org/10.3389/fpls.2021.791859","http://dx.doi.org/10.3389/fpls.2021.791859")</f>
        <v>http://dx.doi.org/10.3389/fpls.2021.791859</v>
      </c>
      <c r="BG92" t="s">
        <v>16</v>
      </c>
      <c r="BH92" t="s">
        <v>16</v>
      </c>
      <c r="BI92">
        <v>15</v>
      </c>
      <c r="BJ92" t="s">
        <v>214</v>
      </c>
      <c r="BK92" t="s">
        <v>73</v>
      </c>
      <c r="BL92" t="s">
        <v>214</v>
      </c>
      <c r="BM92" t="s">
        <v>1800</v>
      </c>
      <c r="BN92">
        <v>35126417</v>
      </c>
      <c r="BO92" t="s">
        <v>216</v>
      </c>
      <c r="BP92" t="s">
        <v>16</v>
      </c>
      <c r="BQ92" t="s">
        <v>16</v>
      </c>
      <c r="BR92" t="s">
        <v>44</v>
      </c>
      <c r="BS92" t="s">
        <v>1801</v>
      </c>
      <c r="BT92" t="str">
        <f>HYPERLINK("https%3A%2F%2Fwww.webofscience.com%2Fwos%2Fwoscc%2Ffull-record%2FWOS:000751825000001","View Full Record in Web of Science")</f>
        <v>View Full Record in Web of Science</v>
      </c>
    </row>
    <row r="93" spans="1:72" x14ac:dyDescent="0.2">
      <c r="A93" t="s">
        <v>46</v>
      </c>
      <c r="B93" t="s">
        <v>1802</v>
      </c>
      <c r="C93" t="s">
        <v>16</v>
      </c>
      <c r="D93" t="s">
        <v>16</v>
      </c>
      <c r="E93" t="s">
        <v>16</v>
      </c>
      <c r="F93" t="s">
        <v>1803</v>
      </c>
      <c r="G93" t="s">
        <v>16</v>
      </c>
      <c r="H93" t="s">
        <v>16</v>
      </c>
      <c r="I93" t="s">
        <v>1804</v>
      </c>
      <c r="J93" t="s">
        <v>1805</v>
      </c>
      <c r="K93" t="s">
        <v>16</v>
      </c>
      <c r="L93" t="s">
        <v>16</v>
      </c>
      <c r="M93" t="s">
        <v>22</v>
      </c>
      <c r="N93" t="s">
        <v>428</v>
      </c>
      <c r="O93" t="s">
        <v>1806</v>
      </c>
      <c r="P93" t="s">
        <v>1807</v>
      </c>
      <c r="Q93" t="s">
        <v>1808</v>
      </c>
      <c r="R93" t="s">
        <v>1809</v>
      </c>
      <c r="S93" t="s">
        <v>16</v>
      </c>
      <c r="T93" t="s">
        <v>1810</v>
      </c>
      <c r="U93" t="s">
        <v>1811</v>
      </c>
      <c r="V93" t="s">
        <v>1812</v>
      </c>
      <c r="W93" t="s">
        <v>1813</v>
      </c>
      <c r="X93" t="s">
        <v>1814</v>
      </c>
      <c r="Y93" t="s">
        <v>1815</v>
      </c>
      <c r="Z93" t="s">
        <v>1816</v>
      </c>
      <c r="AA93" t="s">
        <v>1817</v>
      </c>
      <c r="AB93" t="s">
        <v>1818</v>
      </c>
      <c r="AC93" t="s">
        <v>16</v>
      </c>
      <c r="AD93" t="s">
        <v>16</v>
      </c>
      <c r="AE93" t="s">
        <v>16</v>
      </c>
      <c r="AF93" t="s">
        <v>16</v>
      </c>
      <c r="AG93">
        <v>10</v>
      </c>
      <c r="AH93">
        <v>68</v>
      </c>
      <c r="AI93">
        <v>71</v>
      </c>
      <c r="AJ93">
        <v>4</v>
      </c>
      <c r="AK93">
        <v>75</v>
      </c>
      <c r="AL93" t="s">
        <v>1819</v>
      </c>
      <c r="AM93" t="s">
        <v>1820</v>
      </c>
      <c r="AN93" t="s">
        <v>1821</v>
      </c>
      <c r="AO93" t="s">
        <v>1822</v>
      </c>
      <c r="AP93" t="s">
        <v>16</v>
      </c>
      <c r="AQ93" t="s">
        <v>16</v>
      </c>
      <c r="AR93" t="s">
        <v>1823</v>
      </c>
      <c r="AS93" t="s">
        <v>1824</v>
      </c>
      <c r="AT93" t="s">
        <v>16</v>
      </c>
      <c r="AU93">
        <v>2010</v>
      </c>
      <c r="AV93">
        <v>144</v>
      </c>
      <c r="AW93">
        <v>2</v>
      </c>
      <c r="AX93" t="s">
        <v>16</v>
      </c>
      <c r="AY93" t="s">
        <v>16</v>
      </c>
      <c r="AZ93" t="s">
        <v>16</v>
      </c>
      <c r="BA93" t="s">
        <v>16</v>
      </c>
      <c r="BB93">
        <v>458</v>
      </c>
      <c r="BC93">
        <v>462</v>
      </c>
      <c r="BD93" t="s">
        <v>1825</v>
      </c>
      <c r="BE93" t="s">
        <v>1826</v>
      </c>
      <c r="BF93" t="str">
        <f>HYPERLINK("http://dx.doi.org/10.1080/11263501003731805","http://dx.doi.org/10.1080/11263501003731805")</f>
        <v>http://dx.doi.org/10.1080/11263501003731805</v>
      </c>
      <c r="BG93" t="s">
        <v>16</v>
      </c>
      <c r="BH93" t="s">
        <v>16</v>
      </c>
      <c r="BI93">
        <v>5</v>
      </c>
      <c r="BJ93" t="s">
        <v>214</v>
      </c>
      <c r="BK93" t="s">
        <v>1827</v>
      </c>
      <c r="BL93" t="s">
        <v>214</v>
      </c>
      <c r="BM93" t="s">
        <v>1828</v>
      </c>
      <c r="BN93" t="s">
        <v>16</v>
      </c>
      <c r="BO93" t="s">
        <v>16</v>
      </c>
      <c r="BP93" t="s">
        <v>16</v>
      </c>
      <c r="BQ93" t="s">
        <v>16</v>
      </c>
      <c r="BR93" t="s">
        <v>44</v>
      </c>
      <c r="BS93" t="s">
        <v>1829</v>
      </c>
      <c r="BT93" t="str">
        <f>HYPERLINK("https%3A%2F%2Fwww.webofscience.com%2Fwos%2Fwoscc%2Ffull-record%2FWOS:000280636100022","View Full Record in Web of Science")</f>
        <v>View Full Record in Web of Science</v>
      </c>
    </row>
    <row r="94" spans="1:72" x14ac:dyDescent="0.2">
      <c r="A94" t="s">
        <v>46</v>
      </c>
      <c r="B94" t="s">
        <v>1830</v>
      </c>
      <c r="C94" t="s">
        <v>16</v>
      </c>
      <c r="D94" t="s">
        <v>16</v>
      </c>
      <c r="E94" t="s">
        <v>16</v>
      </c>
      <c r="F94" t="s">
        <v>1830</v>
      </c>
      <c r="G94" t="s">
        <v>16</v>
      </c>
      <c r="H94" t="s">
        <v>16</v>
      </c>
      <c r="I94" t="s">
        <v>1831</v>
      </c>
      <c r="J94" t="s">
        <v>630</v>
      </c>
      <c r="K94" t="s">
        <v>16</v>
      </c>
      <c r="L94" t="s">
        <v>16</v>
      </c>
      <c r="M94" t="s">
        <v>22</v>
      </c>
      <c r="N94" t="s">
        <v>51</v>
      </c>
      <c r="O94" t="s">
        <v>16</v>
      </c>
      <c r="P94" t="s">
        <v>16</v>
      </c>
      <c r="Q94" t="s">
        <v>16</v>
      </c>
      <c r="R94" t="s">
        <v>16</v>
      </c>
      <c r="S94" t="s">
        <v>16</v>
      </c>
      <c r="T94" t="s">
        <v>1832</v>
      </c>
      <c r="U94" t="s">
        <v>1833</v>
      </c>
      <c r="V94" t="s">
        <v>1834</v>
      </c>
      <c r="W94" t="s">
        <v>1835</v>
      </c>
      <c r="X94" t="s">
        <v>1836</v>
      </c>
      <c r="Y94" t="s">
        <v>16</v>
      </c>
      <c r="Z94" t="s">
        <v>16</v>
      </c>
      <c r="AA94" t="s">
        <v>1837</v>
      </c>
      <c r="AB94" t="s">
        <v>1838</v>
      </c>
      <c r="AC94" t="s">
        <v>16</v>
      </c>
      <c r="AD94" t="s">
        <v>16</v>
      </c>
      <c r="AE94" t="s">
        <v>16</v>
      </c>
      <c r="AF94" t="s">
        <v>16</v>
      </c>
      <c r="AG94">
        <v>19</v>
      </c>
      <c r="AH94">
        <v>10</v>
      </c>
      <c r="AI94">
        <v>12</v>
      </c>
      <c r="AJ94">
        <v>0</v>
      </c>
      <c r="AK94">
        <v>8</v>
      </c>
      <c r="AL94" t="s">
        <v>1839</v>
      </c>
      <c r="AM94" t="s">
        <v>1840</v>
      </c>
      <c r="AN94" t="s">
        <v>1841</v>
      </c>
      <c r="AO94" t="s">
        <v>641</v>
      </c>
      <c r="AP94" t="s">
        <v>16</v>
      </c>
      <c r="AQ94" t="s">
        <v>16</v>
      </c>
      <c r="AR94" t="s">
        <v>643</v>
      </c>
      <c r="AS94" t="s">
        <v>644</v>
      </c>
      <c r="AT94" t="s">
        <v>16</v>
      </c>
      <c r="AU94">
        <v>1996</v>
      </c>
      <c r="AV94">
        <v>47</v>
      </c>
      <c r="AW94">
        <v>5</v>
      </c>
      <c r="AX94" t="s">
        <v>16</v>
      </c>
      <c r="AY94" t="s">
        <v>16</v>
      </c>
      <c r="AZ94" t="s">
        <v>16</v>
      </c>
      <c r="BA94" t="s">
        <v>16</v>
      </c>
      <c r="BB94">
        <v>705</v>
      </c>
      <c r="BC94">
        <v>716</v>
      </c>
      <c r="BD94" t="s">
        <v>16</v>
      </c>
      <c r="BE94" t="s">
        <v>1842</v>
      </c>
      <c r="BF94" t="str">
        <f>HYPERLINK("http://dx.doi.org/10.1071/AR9960705","http://dx.doi.org/10.1071/AR9960705")</f>
        <v>http://dx.doi.org/10.1071/AR9960705</v>
      </c>
      <c r="BG94" t="s">
        <v>16</v>
      </c>
      <c r="BH94" t="s">
        <v>16</v>
      </c>
      <c r="BI94">
        <v>12</v>
      </c>
      <c r="BJ94" t="s">
        <v>296</v>
      </c>
      <c r="BK94" t="s">
        <v>73</v>
      </c>
      <c r="BL94" t="s">
        <v>42</v>
      </c>
      <c r="BM94" t="s">
        <v>1843</v>
      </c>
      <c r="BN94" t="s">
        <v>16</v>
      </c>
      <c r="BO94" t="s">
        <v>16</v>
      </c>
      <c r="BP94" t="s">
        <v>16</v>
      </c>
      <c r="BQ94" t="s">
        <v>16</v>
      </c>
      <c r="BR94" t="s">
        <v>44</v>
      </c>
      <c r="BS94" t="s">
        <v>1844</v>
      </c>
      <c r="BT94" t="str">
        <f>HYPERLINK("https%3A%2F%2Fwww.webofscience.com%2Fwos%2Fwoscc%2Ffull-record%2FWOS:A1996UT12300006","View Full Record in Web of Science")</f>
        <v>View Full Record in Web of Science</v>
      </c>
    </row>
    <row r="95" spans="1:72" x14ac:dyDescent="0.2">
      <c r="A95" t="s">
        <v>46</v>
      </c>
      <c r="B95" t="s">
        <v>1845</v>
      </c>
      <c r="C95" t="s">
        <v>16</v>
      </c>
      <c r="D95" t="s">
        <v>16</v>
      </c>
      <c r="E95" t="s">
        <v>16</v>
      </c>
      <c r="F95" t="s">
        <v>1846</v>
      </c>
      <c r="G95" t="s">
        <v>16</v>
      </c>
      <c r="H95" t="s">
        <v>16</v>
      </c>
      <c r="I95" t="s">
        <v>1847</v>
      </c>
      <c r="J95" t="s">
        <v>1848</v>
      </c>
      <c r="K95" t="s">
        <v>16</v>
      </c>
      <c r="L95" t="s">
        <v>16</v>
      </c>
      <c r="M95" t="s">
        <v>22</v>
      </c>
      <c r="N95" t="s">
        <v>51</v>
      </c>
      <c r="O95" t="s">
        <v>16</v>
      </c>
      <c r="P95" t="s">
        <v>16</v>
      </c>
      <c r="Q95" t="s">
        <v>16</v>
      </c>
      <c r="R95" t="s">
        <v>16</v>
      </c>
      <c r="S95" t="s">
        <v>16</v>
      </c>
      <c r="T95" t="s">
        <v>1849</v>
      </c>
      <c r="U95" t="s">
        <v>1850</v>
      </c>
      <c r="V95" t="s">
        <v>1851</v>
      </c>
      <c r="W95" t="s">
        <v>1852</v>
      </c>
      <c r="X95" t="s">
        <v>1853</v>
      </c>
      <c r="Y95" t="s">
        <v>1854</v>
      </c>
      <c r="Z95" t="s">
        <v>1855</v>
      </c>
      <c r="AA95" t="s">
        <v>1856</v>
      </c>
      <c r="AB95" t="s">
        <v>1857</v>
      </c>
      <c r="AC95" t="s">
        <v>1858</v>
      </c>
      <c r="AD95" t="s">
        <v>1859</v>
      </c>
      <c r="AE95" t="s">
        <v>1860</v>
      </c>
      <c r="AF95" t="s">
        <v>16</v>
      </c>
      <c r="AG95">
        <v>36</v>
      </c>
      <c r="AH95">
        <v>2</v>
      </c>
      <c r="AI95">
        <v>3</v>
      </c>
      <c r="AJ95">
        <v>1</v>
      </c>
      <c r="AK95">
        <v>19</v>
      </c>
      <c r="AL95" t="s">
        <v>808</v>
      </c>
      <c r="AM95" t="s">
        <v>161</v>
      </c>
      <c r="AN95" t="s">
        <v>809</v>
      </c>
      <c r="AO95" t="s">
        <v>16</v>
      </c>
      <c r="AP95" t="s">
        <v>1861</v>
      </c>
      <c r="AQ95" t="s">
        <v>16</v>
      </c>
      <c r="AR95" t="s">
        <v>1862</v>
      </c>
      <c r="AS95" t="s">
        <v>1863</v>
      </c>
      <c r="AT95" t="s">
        <v>623</v>
      </c>
      <c r="AU95">
        <v>2020</v>
      </c>
      <c r="AV95">
        <v>21</v>
      </c>
      <c r="AW95">
        <v>6</v>
      </c>
      <c r="AX95" t="s">
        <v>16</v>
      </c>
      <c r="AY95" t="s">
        <v>16</v>
      </c>
      <c r="AZ95" t="s">
        <v>16</v>
      </c>
      <c r="BA95" t="s">
        <v>16</v>
      </c>
      <c r="BB95" t="s">
        <v>16</v>
      </c>
      <c r="BC95" t="s">
        <v>16</v>
      </c>
      <c r="BD95">
        <v>2222</v>
      </c>
      <c r="BE95" t="s">
        <v>1864</v>
      </c>
      <c r="BF95" t="str">
        <f>HYPERLINK("http://dx.doi.org/10.3390/ijms21062222","http://dx.doi.org/10.3390/ijms21062222")</f>
        <v>http://dx.doi.org/10.3390/ijms21062222</v>
      </c>
      <c r="BG95" t="s">
        <v>16</v>
      </c>
      <c r="BH95" t="s">
        <v>16</v>
      </c>
      <c r="BI95">
        <v>12</v>
      </c>
      <c r="BJ95" t="s">
        <v>296</v>
      </c>
      <c r="BK95" t="s">
        <v>73</v>
      </c>
      <c r="BL95" t="s">
        <v>1865</v>
      </c>
      <c r="BM95" t="s">
        <v>1866</v>
      </c>
      <c r="BN95">
        <v>32210156</v>
      </c>
      <c r="BO95" t="s">
        <v>216</v>
      </c>
      <c r="BP95" t="s">
        <v>16</v>
      </c>
      <c r="BQ95" t="s">
        <v>16</v>
      </c>
      <c r="BR95" t="s">
        <v>44</v>
      </c>
      <c r="BS95" t="s">
        <v>1867</v>
      </c>
      <c r="BT95" t="str">
        <f>HYPERLINK("https%3A%2F%2Fwww.webofscience.com%2Fwos%2Fwoscc%2Ffull-record%2FWOS:000529890200318","View Full Record in Web of Science")</f>
        <v>View Full Record in Web of Science</v>
      </c>
    </row>
    <row r="96" spans="1:72" x14ac:dyDescent="0.2">
      <c r="A96" t="s">
        <v>46</v>
      </c>
      <c r="B96" t="s">
        <v>1868</v>
      </c>
      <c r="C96" t="s">
        <v>16</v>
      </c>
      <c r="D96" t="s">
        <v>16</v>
      </c>
      <c r="E96" t="s">
        <v>16</v>
      </c>
      <c r="F96" t="s">
        <v>1869</v>
      </c>
      <c r="G96" t="s">
        <v>16</v>
      </c>
      <c r="H96" t="s">
        <v>16</v>
      </c>
      <c r="I96" t="s">
        <v>1870</v>
      </c>
      <c r="J96" t="s">
        <v>197</v>
      </c>
      <c r="K96" t="s">
        <v>16</v>
      </c>
      <c r="L96" t="s">
        <v>16</v>
      </c>
      <c r="M96" t="s">
        <v>22</v>
      </c>
      <c r="N96" t="s">
        <v>51</v>
      </c>
      <c r="O96" t="s">
        <v>16</v>
      </c>
      <c r="P96" t="s">
        <v>16</v>
      </c>
      <c r="Q96" t="s">
        <v>16</v>
      </c>
      <c r="R96" t="s">
        <v>16</v>
      </c>
      <c r="S96" t="s">
        <v>16</v>
      </c>
      <c r="T96" t="s">
        <v>1871</v>
      </c>
      <c r="U96" t="s">
        <v>1872</v>
      </c>
      <c r="V96" t="s">
        <v>1873</v>
      </c>
      <c r="W96" t="s">
        <v>1874</v>
      </c>
      <c r="X96" t="s">
        <v>1875</v>
      </c>
      <c r="Y96" t="s">
        <v>1876</v>
      </c>
      <c r="Z96" t="s">
        <v>1877</v>
      </c>
      <c r="AA96" t="s">
        <v>1878</v>
      </c>
      <c r="AB96" t="s">
        <v>1879</v>
      </c>
      <c r="AC96" t="s">
        <v>1880</v>
      </c>
      <c r="AD96" t="s">
        <v>1881</v>
      </c>
      <c r="AE96" t="s">
        <v>1882</v>
      </c>
      <c r="AF96" t="s">
        <v>16</v>
      </c>
      <c r="AG96">
        <v>58</v>
      </c>
      <c r="AH96">
        <v>3</v>
      </c>
      <c r="AI96">
        <v>3</v>
      </c>
      <c r="AJ96">
        <v>0</v>
      </c>
      <c r="AK96">
        <v>7</v>
      </c>
      <c r="AL96" t="s">
        <v>206</v>
      </c>
      <c r="AM96" t="s">
        <v>207</v>
      </c>
      <c r="AN96" t="s">
        <v>208</v>
      </c>
      <c r="AO96" t="s">
        <v>209</v>
      </c>
      <c r="AP96" t="s">
        <v>16</v>
      </c>
      <c r="AQ96" t="s">
        <v>16</v>
      </c>
      <c r="AR96" t="s">
        <v>210</v>
      </c>
      <c r="AS96" t="s">
        <v>211</v>
      </c>
      <c r="AT96" t="s">
        <v>1883</v>
      </c>
      <c r="AU96">
        <v>2023</v>
      </c>
      <c r="AV96">
        <v>13</v>
      </c>
      <c r="AW96" t="s">
        <v>16</v>
      </c>
      <c r="AX96" t="s">
        <v>16</v>
      </c>
      <c r="AY96" t="s">
        <v>16</v>
      </c>
      <c r="AZ96" t="s">
        <v>16</v>
      </c>
      <c r="BA96" t="s">
        <v>16</v>
      </c>
      <c r="BB96" t="s">
        <v>16</v>
      </c>
      <c r="BC96" t="s">
        <v>16</v>
      </c>
      <c r="BD96">
        <v>1057914</v>
      </c>
      <c r="BE96" t="s">
        <v>1884</v>
      </c>
      <c r="BF96" t="str">
        <f>HYPERLINK("http://dx.doi.org/10.3389/fpls.2022.1057914","http://dx.doi.org/10.3389/fpls.2022.1057914")</f>
        <v>http://dx.doi.org/10.3389/fpls.2022.1057914</v>
      </c>
      <c r="BG96" t="s">
        <v>16</v>
      </c>
      <c r="BH96" t="s">
        <v>16</v>
      </c>
      <c r="BI96">
        <v>14</v>
      </c>
      <c r="BJ96" t="s">
        <v>214</v>
      </c>
      <c r="BK96" t="s">
        <v>73</v>
      </c>
      <c r="BL96" t="s">
        <v>214</v>
      </c>
      <c r="BM96" t="s">
        <v>1885</v>
      </c>
      <c r="BN96">
        <v>36714712</v>
      </c>
      <c r="BO96" t="s">
        <v>511</v>
      </c>
      <c r="BP96" t="s">
        <v>16</v>
      </c>
      <c r="BQ96" t="s">
        <v>16</v>
      </c>
      <c r="BR96" t="s">
        <v>44</v>
      </c>
      <c r="BS96" t="s">
        <v>1886</v>
      </c>
      <c r="BT96" t="str">
        <f>HYPERLINK("https%3A%2F%2Fwww.webofscience.com%2Fwos%2Fwoscc%2Ffull-record%2FWOS:000926754800001","View Full Record in Web of Science")</f>
        <v>View Full Record in Web of Science</v>
      </c>
    </row>
    <row r="97" spans="1:72" x14ac:dyDescent="0.2">
      <c r="A97" t="s">
        <v>46</v>
      </c>
      <c r="B97" t="s">
        <v>1887</v>
      </c>
      <c r="C97" t="s">
        <v>16</v>
      </c>
      <c r="D97" t="s">
        <v>16</v>
      </c>
      <c r="E97" t="s">
        <v>16</v>
      </c>
      <c r="F97" t="s">
        <v>1888</v>
      </c>
      <c r="G97" t="s">
        <v>16</v>
      </c>
      <c r="H97" t="s">
        <v>16</v>
      </c>
      <c r="I97" t="s">
        <v>1889</v>
      </c>
      <c r="J97" t="s">
        <v>1890</v>
      </c>
      <c r="K97" t="s">
        <v>16</v>
      </c>
      <c r="L97" t="s">
        <v>16</v>
      </c>
      <c r="M97" t="s">
        <v>22</v>
      </c>
      <c r="N97" t="s">
        <v>51</v>
      </c>
      <c r="O97" t="s">
        <v>16</v>
      </c>
      <c r="P97" t="s">
        <v>16</v>
      </c>
      <c r="Q97" t="s">
        <v>16</v>
      </c>
      <c r="R97" t="s">
        <v>16</v>
      </c>
      <c r="S97" t="s">
        <v>16</v>
      </c>
      <c r="T97" t="s">
        <v>1891</v>
      </c>
      <c r="U97" t="s">
        <v>1892</v>
      </c>
      <c r="V97" t="s">
        <v>1893</v>
      </c>
      <c r="W97" t="s">
        <v>1894</v>
      </c>
      <c r="X97" t="s">
        <v>1895</v>
      </c>
      <c r="Y97" t="s">
        <v>1896</v>
      </c>
      <c r="Z97" t="s">
        <v>1897</v>
      </c>
      <c r="AA97" t="s">
        <v>1898</v>
      </c>
      <c r="AB97" t="s">
        <v>1899</v>
      </c>
      <c r="AC97" t="s">
        <v>16</v>
      </c>
      <c r="AD97" t="s">
        <v>16</v>
      </c>
      <c r="AE97" t="s">
        <v>16</v>
      </c>
      <c r="AF97" t="s">
        <v>16</v>
      </c>
      <c r="AG97">
        <v>97</v>
      </c>
      <c r="AH97">
        <v>7</v>
      </c>
      <c r="AI97">
        <v>8</v>
      </c>
      <c r="AJ97">
        <v>0</v>
      </c>
      <c r="AK97">
        <v>8</v>
      </c>
      <c r="AL97" t="s">
        <v>808</v>
      </c>
      <c r="AM97" t="s">
        <v>161</v>
      </c>
      <c r="AN97" t="s">
        <v>809</v>
      </c>
      <c r="AO97" t="s">
        <v>16</v>
      </c>
      <c r="AP97" t="s">
        <v>1900</v>
      </c>
      <c r="AQ97" t="s">
        <v>16</v>
      </c>
      <c r="AR97" t="s">
        <v>1890</v>
      </c>
      <c r="AS97" t="s">
        <v>1901</v>
      </c>
      <c r="AT97" t="s">
        <v>1138</v>
      </c>
      <c r="AU97">
        <v>2021</v>
      </c>
      <c r="AV97">
        <v>11</v>
      </c>
      <c r="AW97">
        <v>7</v>
      </c>
      <c r="AX97" t="s">
        <v>16</v>
      </c>
      <c r="AY97" t="s">
        <v>16</v>
      </c>
      <c r="AZ97" t="s">
        <v>16</v>
      </c>
      <c r="BA97" t="s">
        <v>16</v>
      </c>
      <c r="BB97" t="s">
        <v>16</v>
      </c>
      <c r="BC97" t="s">
        <v>16</v>
      </c>
      <c r="BD97">
        <v>1397</v>
      </c>
      <c r="BE97" t="s">
        <v>1902</v>
      </c>
      <c r="BF97" t="str">
        <f>HYPERLINK("http://dx.doi.org/10.3390/agronomy11071397","http://dx.doi.org/10.3390/agronomy11071397")</f>
        <v>http://dx.doi.org/10.3390/agronomy11071397</v>
      </c>
      <c r="BG97" t="s">
        <v>16</v>
      </c>
      <c r="BH97" t="s">
        <v>16</v>
      </c>
      <c r="BI97">
        <v>17</v>
      </c>
      <c r="BJ97" t="s">
        <v>92</v>
      </c>
      <c r="BK97" t="s">
        <v>73</v>
      </c>
      <c r="BL97" t="s">
        <v>94</v>
      </c>
      <c r="BM97" t="s">
        <v>1903</v>
      </c>
      <c r="BN97" t="s">
        <v>16</v>
      </c>
      <c r="BO97" t="s">
        <v>552</v>
      </c>
      <c r="BP97" t="s">
        <v>16</v>
      </c>
      <c r="BQ97" t="s">
        <v>16</v>
      </c>
      <c r="BR97" t="s">
        <v>44</v>
      </c>
      <c r="BS97" t="s">
        <v>1904</v>
      </c>
      <c r="BT97" t="str">
        <f>HYPERLINK("https%3A%2F%2Fwww.webofscience.com%2Fwos%2Fwoscc%2Ffull-record%2FWOS:000675986300001","View Full Record in Web of Science")</f>
        <v>View Full Record in Web of Science</v>
      </c>
    </row>
    <row r="98" spans="1:72" x14ac:dyDescent="0.2">
      <c r="A98" t="s">
        <v>46</v>
      </c>
      <c r="B98" t="s">
        <v>1905</v>
      </c>
      <c r="C98" t="s">
        <v>16</v>
      </c>
      <c r="D98" t="s">
        <v>16</v>
      </c>
      <c r="E98" t="s">
        <v>16</v>
      </c>
      <c r="F98" t="s">
        <v>1906</v>
      </c>
      <c r="G98" t="s">
        <v>16</v>
      </c>
      <c r="H98" t="s">
        <v>16</v>
      </c>
      <c r="I98" t="s">
        <v>1907</v>
      </c>
      <c r="J98" t="s">
        <v>50</v>
      </c>
      <c r="K98" t="s">
        <v>16</v>
      </c>
      <c r="L98" t="s">
        <v>16</v>
      </c>
      <c r="M98" t="s">
        <v>22</v>
      </c>
      <c r="N98" t="s">
        <v>51</v>
      </c>
      <c r="O98" t="s">
        <v>16</v>
      </c>
      <c r="P98" t="s">
        <v>16</v>
      </c>
      <c r="Q98" t="s">
        <v>16</v>
      </c>
      <c r="R98" t="s">
        <v>16</v>
      </c>
      <c r="S98" t="s">
        <v>16</v>
      </c>
      <c r="T98" t="s">
        <v>16</v>
      </c>
      <c r="U98" t="s">
        <v>1908</v>
      </c>
      <c r="V98" t="s">
        <v>1909</v>
      </c>
      <c r="W98" t="s">
        <v>1910</v>
      </c>
      <c r="X98" t="s">
        <v>1911</v>
      </c>
      <c r="Y98" t="s">
        <v>1912</v>
      </c>
      <c r="Z98" t="s">
        <v>1913</v>
      </c>
      <c r="AA98" t="s">
        <v>1914</v>
      </c>
      <c r="AB98" t="s">
        <v>1915</v>
      </c>
      <c r="AC98" t="s">
        <v>1916</v>
      </c>
      <c r="AD98" t="s">
        <v>1917</v>
      </c>
      <c r="AE98" t="s">
        <v>1918</v>
      </c>
      <c r="AF98" t="s">
        <v>16</v>
      </c>
      <c r="AG98">
        <v>49</v>
      </c>
      <c r="AH98">
        <v>0</v>
      </c>
      <c r="AI98">
        <v>0</v>
      </c>
      <c r="AJ98">
        <v>4</v>
      </c>
      <c r="AK98">
        <v>5</v>
      </c>
      <c r="AL98" t="s">
        <v>63</v>
      </c>
      <c r="AM98" t="s">
        <v>64</v>
      </c>
      <c r="AN98" t="s">
        <v>65</v>
      </c>
      <c r="AO98" t="s">
        <v>66</v>
      </c>
      <c r="AP98" t="s">
        <v>67</v>
      </c>
      <c r="AQ98" t="s">
        <v>16</v>
      </c>
      <c r="AR98" t="s">
        <v>68</v>
      </c>
      <c r="AS98" t="s">
        <v>69</v>
      </c>
      <c r="AT98" t="s">
        <v>1138</v>
      </c>
      <c r="AU98">
        <v>2024</v>
      </c>
      <c r="AV98">
        <v>64</v>
      </c>
      <c r="AW98">
        <v>4</v>
      </c>
      <c r="AX98" t="s">
        <v>16</v>
      </c>
      <c r="AY98" t="s">
        <v>16</v>
      </c>
      <c r="AZ98" t="s">
        <v>16</v>
      </c>
      <c r="BA98" t="s">
        <v>16</v>
      </c>
      <c r="BB98">
        <v>2195</v>
      </c>
      <c r="BC98">
        <v>2211</v>
      </c>
      <c r="BD98" t="s">
        <v>16</v>
      </c>
      <c r="BE98" t="s">
        <v>1919</v>
      </c>
      <c r="BF98" t="str">
        <f>HYPERLINK("http://dx.doi.org/10.1002/csc2.21266","http://dx.doi.org/10.1002/csc2.21266")</f>
        <v>http://dx.doi.org/10.1002/csc2.21266</v>
      </c>
      <c r="BG98" t="s">
        <v>16</v>
      </c>
      <c r="BH98" t="s">
        <v>1920</v>
      </c>
      <c r="BI98">
        <v>17</v>
      </c>
      <c r="BJ98" t="s">
        <v>40</v>
      </c>
      <c r="BK98" t="s">
        <v>73</v>
      </c>
      <c r="BL98" t="s">
        <v>42</v>
      </c>
      <c r="BM98" t="s">
        <v>1921</v>
      </c>
      <c r="BN98" t="s">
        <v>16</v>
      </c>
      <c r="BO98" t="s">
        <v>772</v>
      </c>
      <c r="BP98" t="s">
        <v>16</v>
      </c>
      <c r="BQ98" t="s">
        <v>16</v>
      </c>
      <c r="BR98" t="s">
        <v>44</v>
      </c>
      <c r="BS98" t="s">
        <v>1922</v>
      </c>
      <c r="BT98" t="str">
        <f>HYPERLINK("https%3A%2F%2Fwww.webofscience.com%2Fwos%2Fwoscc%2Ffull-record%2FWOS:001230603100001","View Full Record in Web of Science")</f>
        <v>View Full Record in Web of Science</v>
      </c>
    </row>
    <row r="99" spans="1:72" x14ac:dyDescent="0.2">
      <c r="A99" t="s">
        <v>46</v>
      </c>
      <c r="B99" t="s">
        <v>1923</v>
      </c>
      <c r="C99" t="s">
        <v>16</v>
      </c>
      <c r="D99" t="s">
        <v>16</v>
      </c>
      <c r="E99" t="s">
        <v>16</v>
      </c>
      <c r="F99" t="s">
        <v>1924</v>
      </c>
      <c r="G99" t="s">
        <v>16</v>
      </c>
      <c r="H99" t="s">
        <v>16</v>
      </c>
      <c r="I99" t="s">
        <v>1925</v>
      </c>
      <c r="J99" t="s">
        <v>117</v>
      </c>
      <c r="K99" t="s">
        <v>16</v>
      </c>
      <c r="L99" t="s">
        <v>16</v>
      </c>
      <c r="M99" t="s">
        <v>22</v>
      </c>
      <c r="N99" t="s">
        <v>51</v>
      </c>
      <c r="O99" t="s">
        <v>16</v>
      </c>
      <c r="P99" t="s">
        <v>16</v>
      </c>
      <c r="Q99" t="s">
        <v>16</v>
      </c>
      <c r="R99" t="s">
        <v>16</v>
      </c>
      <c r="S99" t="s">
        <v>16</v>
      </c>
      <c r="T99" t="s">
        <v>16</v>
      </c>
      <c r="U99" t="s">
        <v>1926</v>
      </c>
      <c r="V99" t="s">
        <v>1927</v>
      </c>
      <c r="W99" t="s">
        <v>1928</v>
      </c>
      <c r="X99" t="s">
        <v>1929</v>
      </c>
      <c r="Y99" t="s">
        <v>1930</v>
      </c>
      <c r="Z99" t="s">
        <v>1931</v>
      </c>
      <c r="AA99" t="s">
        <v>1932</v>
      </c>
      <c r="AB99" t="s">
        <v>1933</v>
      </c>
      <c r="AC99" t="s">
        <v>1934</v>
      </c>
      <c r="AD99" t="s">
        <v>1935</v>
      </c>
      <c r="AE99" t="s">
        <v>1936</v>
      </c>
      <c r="AF99" t="s">
        <v>16</v>
      </c>
      <c r="AG99">
        <v>58</v>
      </c>
      <c r="AH99">
        <v>84</v>
      </c>
      <c r="AI99">
        <v>101</v>
      </c>
      <c r="AJ99">
        <v>6</v>
      </c>
      <c r="AK99">
        <v>91</v>
      </c>
      <c r="AL99" t="s">
        <v>128</v>
      </c>
      <c r="AM99" t="s">
        <v>129</v>
      </c>
      <c r="AN99" t="s">
        <v>1703</v>
      </c>
      <c r="AO99" t="s">
        <v>131</v>
      </c>
      <c r="AP99" t="s">
        <v>132</v>
      </c>
      <c r="AQ99" t="s">
        <v>16</v>
      </c>
      <c r="AR99" t="s">
        <v>133</v>
      </c>
      <c r="AS99" t="s">
        <v>134</v>
      </c>
      <c r="AT99" t="s">
        <v>135</v>
      </c>
      <c r="AU99">
        <v>2017</v>
      </c>
      <c r="AV99">
        <v>130</v>
      </c>
      <c r="AW99">
        <v>11</v>
      </c>
      <c r="AX99" t="s">
        <v>16</v>
      </c>
      <c r="AY99" t="s">
        <v>16</v>
      </c>
      <c r="AZ99" t="s">
        <v>16</v>
      </c>
      <c r="BA99" t="s">
        <v>16</v>
      </c>
      <c r="BB99">
        <v>2327</v>
      </c>
      <c r="BC99">
        <v>2343</v>
      </c>
      <c r="BD99" t="s">
        <v>16</v>
      </c>
      <c r="BE99" t="s">
        <v>1937</v>
      </c>
      <c r="BF99" t="str">
        <f>HYPERLINK("http://dx.doi.org/10.1007/s00122-017-2962-9","http://dx.doi.org/10.1007/s00122-017-2962-9")</f>
        <v>http://dx.doi.org/10.1007/s00122-017-2962-9</v>
      </c>
      <c r="BG99" t="s">
        <v>16</v>
      </c>
      <c r="BH99" t="s">
        <v>16</v>
      </c>
      <c r="BI99">
        <v>17</v>
      </c>
      <c r="BJ99" t="s">
        <v>296</v>
      </c>
      <c r="BK99" t="s">
        <v>73</v>
      </c>
      <c r="BL99" t="s">
        <v>137</v>
      </c>
      <c r="BM99" t="s">
        <v>1938</v>
      </c>
      <c r="BN99">
        <v>28828506</v>
      </c>
      <c r="BO99" t="s">
        <v>16</v>
      </c>
      <c r="BP99" t="s">
        <v>16</v>
      </c>
      <c r="BQ99" t="s">
        <v>16</v>
      </c>
      <c r="BR99" t="s">
        <v>44</v>
      </c>
      <c r="BS99" t="s">
        <v>1939</v>
      </c>
      <c r="BT99" t="str">
        <f>HYPERLINK("https%3A%2F%2Fwww.webofscience.com%2Fwos%2Fwoscc%2Ffull-record%2FWOS:000412904000007","View Full Record in Web of Science")</f>
        <v>View Full Record in Web of Science</v>
      </c>
    </row>
    <row r="100" spans="1:72" x14ac:dyDescent="0.2">
      <c r="A100" t="s">
        <v>46</v>
      </c>
      <c r="B100" t="s">
        <v>1940</v>
      </c>
      <c r="C100" t="s">
        <v>16</v>
      </c>
      <c r="D100" t="s">
        <v>16</v>
      </c>
      <c r="E100" t="s">
        <v>16</v>
      </c>
      <c r="F100" t="s">
        <v>1941</v>
      </c>
      <c r="G100" t="s">
        <v>16</v>
      </c>
      <c r="H100" t="s">
        <v>16</v>
      </c>
      <c r="I100" t="s">
        <v>1942</v>
      </c>
      <c r="J100" t="s">
        <v>1943</v>
      </c>
      <c r="K100" t="s">
        <v>16</v>
      </c>
      <c r="L100" t="s">
        <v>16</v>
      </c>
      <c r="M100" t="s">
        <v>22</v>
      </c>
      <c r="N100" t="s">
        <v>51</v>
      </c>
      <c r="O100" t="s">
        <v>16</v>
      </c>
      <c r="P100" t="s">
        <v>16</v>
      </c>
      <c r="Q100" t="s">
        <v>16</v>
      </c>
      <c r="R100" t="s">
        <v>16</v>
      </c>
      <c r="S100" t="s">
        <v>16</v>
      </c>
      <c r="T100" t="s">
        <v>1944</v>
      </c>
      <c r="U100" t="s">
        <v>1945</v>
      </c>
      <c r="V100" t="s">
        <v>1946</v>
      </c>
      <c r="W100" t="s">
        <v>1947</v>
      </c>
      <c r="X100" t="s">
        <v>1948</v>
      </c>
      <c r="Y100" t="s">
        <v>1949</v>
      </c>
      <c r="Z100" t="s">
        <v>1950</v>
      </c>
      <c r="AA100" t="s">
        <v>1951</v>
      </c>
      <c r="AB100" t="s">
        <v>1952</v>
      </c>
      <c r="AC100" t="s">
        <v>1953</v>
      </c>
      <c r="AD100" t="s">
        <v>1954</v>
      </c>
      <c r="AE100" t="s">
        <v>1955</v>
      </c>
      <c r="AF100" t="s">
        <v>16</v>
      </c>
      <c r="AG100">
        <v>42</v>
      </c>
      <c r="AH100">
        <v>6</v>
      </c>
      <c r="AI100">
        <v>6</v>
      </c>
      <c r="AJ100">
        <v>0</v>
      </c>
      <c r="AK100">
        <v>4</v>
      </c>
      <c r="AL100" t="s">
        <v>1956</v>
      </c>
      <c r="AM100" t="s">
        <v>1957</v>
      </c>
      <c r="AN100" t="s">
        <v>1958</v>
      </c>
      <c r="AO100" t="s">
        <v>1959</v>
      </c>
      <c r="AP100" t="s">
        <v>1960</v>
      </c>
      <c r="AQ100" t="s">
        <v>16</v>
      </c>
      <c r="AR100" t="s">
        <v>1961</v>
      </c>
      <c r="AS100" t="s">
        <v>1962</v>
      </c>
      <c r="AT100" t="s">
        <v>1164</v>
      </c>
      <c r="AU100">
        <v>2016</v>
      </c>
      <c r="AV100">
        <v>16</v>
      </c>
      <c r="AW100">
        <v>2</v>
      </c>
      <c r="AX100" t="s">
        <v>16</v>
      </c>
      <c r="AY100" t="s">
        <v>16</v>
      </c>
      <c r="AZ100" t="s">
        <v>16</v>
      </c>
      <c r="BA100" t="s">
        <v>16</v>
      </c>
      <c r="BB100">
        <v>77</v>
      </c>
      <c r="BC100">
        <v>85</v>
      </c>
      <c r="BD100" t="s">
        <v>16</v>
      </c>
      <c r="BE100" t="s">
        <v>1963</v>
      </c>
      <c r="BF100" t="str">
        <f>HYPERLINK("http://dx.doi.org/10.1590/1984-70332016v16n2a13","http://dx.doi.org/10.1590/1984-70332016v16n2a13")</f>
        <v>http://dx.doi.org/10.1590/1984-70332016v16n2a13</v>
      </c>
      <c r="BG100" t="s">
        <v>16</v>
      </c>
      <c r="BH100" t="s">
        <v>16</v>
      </c>
      <c r="BI100">
        <v>9</v>
      </c>
      <c r="BJ100" t="s">
        <v>296</v>
      </c>
      <c r="BK100" t="s">
        <v>73</v>
      </c>
      <c r="BL100" t="s">
        <v>1964</v>
      </c>
      <c r="BM100" t="s">
        <v>1965</v>
      </c>
      <c r="BN100" t="s">
        <v>16</v>
      </c>
      <c r="BO100" t="s">
        <v>1966</v>
      </c>
      <c r="BP100" t="s">
        <v>16</v>
      </c>
      <c r="BQ100" t="s">
        <v>16</v>
      </c>
      <c r="BR100" t="s">
        <v>44</v>
      </c>
      <c r="BS100" t="s">
        <v>1967</v>
      </c>
      <c r="BT100" t="str">
        <f>HYPERLINK("https%3A%2F%2Fwww.webofscience.com%2Fwos%2Fwoscc%2Ffull-record%2FWOS:000383167200001","View Full Record in Web of Science")</f>
        <v>View Full Record in Web of Science</v>
      </c>
    </row>
    <row r="101" spans="1:72" x14ac:dyDescent="0.2">
      <c r="A101" t="s">
        <v>141</v>
      </c>
      <c r="B101" t="s">
        <v>1968</v>
      </c>
      <c r="C101" t="s">
        <v>16</v>
      </c>
      <c r="D101" t="s">
        <v>1969</v>
      </c>
      <c r="E101" t="s">
        <v>16</v>
      </c>
      <c r="F101" t="s">
        <v>1970</v>
      </c>
      <c r="G101" t="s">
        <v>16</v>
      </c>
      <c r="H101" t="s">
        <v>16</v>
      </c>
      <c r="I101" t="s">
        <v>1971</v>
      </c>
      <c r="J101" t="s">
        <v>1972</v>
      </c>
      <c r="K101" t="s">
        <v>1973</v>
      </c>
      <c r="L101" t="s">
        <v>16</v>
      </c>
      <c r="M101" t="s">
        <v>22</v>
      </c>
      <c r="N101" t="s">
        <v>147</v>
      </c>
      <c r="O101" t="s">
        <v>1974</v>
      </c>
      <c r="P101">
        <v>2015</v>
      </c>
      <c r="Q101" t="s">
        <v>1975</v>
      </c>
      <c r="R101" t="s">
        <v>1976</v>
      </c>
      <c r="S101" t="s">
        <v>1977</v>
      </c>
      <c r="T101" t="s">
        <v>1978</v>
      </c>
      <c r="U101" t="s">
        <v>16</v>
      </c>
      <c r="V101" t="s">
        <v>1979</v>
      </c>
      <c r="W101" t="s">
        <v>1980</v>
      </c>
      <c r="X101" t="s">
        <v>1981</v>
      </c>
      <c r="Y101" t="s">
        <v>1982</v>
      </c>
      <c r="Z101" t="s">
        <v>1983</v>
      </c>
      <c r="AA101" t="s">
        <v>16</v>
      </c>
      <c r="AB101" t="s">
        <v>16</v>
      </c>
      <c r="AC101" t="s">
        <v>16</v>
      </c>
      <c r="AD101" t="s">
        <v>16</v>
      </c>
      <c r="AE101" t="s">
        <v>16</v>
      </c>
      <c r="AF101" t="s">
        <v>16</v>
      </c>
      <c r="AG101">
        <v>14</v>
      </c>
      <c r="AH101">
        <v>2</v>
      </c>
      <c r="AI101">
        <v>3</v>
      </c>
      <c r="AJ101">
        <v>0</v>
      </c>
      <c r="AK101">
        <v>6</v>
      </c>
      <c r="AL101" t="s">
        <v>1323</v>
      </c>
      <c r="AM101" t="s">
        <v>570</v>
      </c>
      <c r="AN101" t="s">
        <v>1984</v>
      </c>
      <c r="AO101" t="s">
        <v>1985</v>
      </c>
      <c r="AP101" t="s">
        <v>16</v>
      </c>
      <c r="AQ101" t="s">
        <v>16</v>
      </c>
      <c r="AR101" t="s">
        <v>1986</v>
      </c>
      <c r="AS101" t="s">
        <v>16</v>
      </c>
      <c r="AT101" t="s">
        <v>16</v>
      </c>
      <c r="AU101">
        <v>2016</v>
      </c>
      <c r="AV101">
        <v>9</v>
      </c>
      <c r="AW101" t="s">
        <v>16</v>
      </c>
      <c r="AX101" t="s">
        <v>16</v>
      </c>
      <c r="AY101" t="s">
        <v>16</v>
      </c>
      <c r="AZ101" t="s">
        <v>16</v>
      </c>
      <c r="BA101" t="s">
        <v>16</v>
      </c>
      <c r="BB101">
        <v>134</v>
      </c>
      <c r="BC101">
        <v>145</v>
      </c>
      <c r="BD101" t="s">
        <v>16</v>
      </c>
      <c r="BE101" t="s">
        <v>1987</v>
      </c>
      <c r="BF101" t="str">
        <f>HYPERLINK("http://dx.doi.org/10.1016/j.aaspro.2016.02.108","http://dx.doi.org/10.1016/j.aaspro.2016.02.108")</f>
        <v>http://dx.doi.org/10.1016/j.aaspro.2016.02.108</v>
      </c>
      <c r="BG101" t="s">
        <v>16</v>
      </c>
      <c r="BH101" t="s">
        <v>16</v>
      </c>
      <c r="BI101">
        <v>12</v>
      </c>
      <c r="BJ101" t="s">
        <v>296</v>
      </c>
      <c r="BK101" t="s">
        <v>167</v>
      </c>
      <c r="BL101" t="s">
        <v>42</v>
      </c>
      <c r="BM101" t="s">
        <v>1988</v>
      </c>
      <c r="BN101" t="s">
        <v>16</v>
      </c>
      <c r="BO101" t="s">
        <v>772</v>
      </c>
      <c r="BP101" t="s">
        <v>16</v>
      </c>
      <c r="BQ101" t="s">
        <v>16</v>
      </c>
      <c r="BR101" t="s">
        <v>44</v>
      </c>
      <c r="BS101" t="s">
        <v>1989</v>
      </c>
      <c r="BT101" t="str">
        <f>HYPERLINK("https%3A%2F%2Fwww.webofscience.com%2Fwos%2Fwoscc%2Ffull-record%2FWOS:000387487500017","View Full Record in Web of Science")</f>
        <v>View Full Record in Web of Science</v>
      </c>
    </row>
    <row r="102" spans="1:72" x14ac:dyDescent="0.2">
      <c r="A102" t="s">
        <v>46</v>
      </c>
      <c r="B102" t="s">
        <v>1990</v>
      </c>
      <c r="C102" t="s">
        <v>16</v>
      </c>
      <c r="D102" t="s">
        <v>16</v>
      </c>
      <c r="E102" t="s">
        <v>16</v>
      </c>
      <c r="F102" t="s">
        <v>1991</v>
      </c>
      <c r="G102" t="s">
        <v>16</v>
      </c>
      <c r="H102" t="s">
        <v>16</v>
      </c>
      <c r="I102" t="s">
        <v>1992</v>
      </c>
      <c r="J102" t="s">
        <v>1943</v>
      </c>
      <c r="K102" t="s">
        <v>16</v>
      </c>
      <c r="L102" t="s">
        <v>16</v>
      </c>
      <c r="M102" t="s">
        <v>22</v>
      </c>
      <c r="N102" t="s">
        <v>51</v>
      </c>
      <c r="O102" t="s">
        <v>16</v>
      </c>
      <c r="P102" t="s">
        <v>16</v>
      </c>
      <c r="Q102" t="s">
        <v>16</v>
      </c>
      <c r="R102" t="s">
        <v>16</v>
      </c>
      <c r="S102" t="s">
        <v>16</v>
      </c>
      <c r="T102" t="s">
        <v>1993</v>
      </c>
      <c r="U102" t="s">
        <v>16</v>
      </c>
      <c r="V102" t="s">
        <v>1994</v>
      </c>
      <c r="W102" t="s">
        <v>1995</v>
      </c>
      <c r="X102" t="s">
        <v>1996</v>
      </c>
      <c r="Y102" t="s">
        <v>1997</v>
      </c>
      <c r="Z102" t="s">
        <v>1998</v>
      </c>
      <c r="AA102" t="s">
        <v>1999</v>
      </c>
      <c r="AB102" t="s">
        <v>2000</v>
      </c>
      <c r="AC102" t="s">
        <v>16</v>
      </c>
      <c r="AD102" t="s">
        <v>16</v>
      </c>
      <c r="AE102" t="s">
        <v>16</v>
      </c>
      <c r="AF102" t="s">
        <v>16</v>
      </c>
      <c r="AG102">
        <v>4</v>
      </c>
      <c r="AH102">
        <v>22</v>
      </c>
      <c r="AI102">
        <v>25</v>
      </c>
      <c r="AJ102">
        <v>0</v>
      </c>
      <c r="AK102">
        <v>7</v>
      </c>
      <c r="AL102" t="s">
        <v>1956</v>
      </c>
      <c r="AM102" t="s">
        <v>1957</v>
      </c>
      <c r="AN102" t="s">
        <v>1958</v>
      </c>
      <c r="AO102" t="s">
        <v>1960</v>
      </c>
      <c r="AP102" t="s">
        <v>16</v>
      </c>
      <c r="AQ102" t="s">
        <v>16</v>
      </c>
      <c r="AR102" t="s">
        <v>1961</v>
      </c>
      <c r="AS102" t="s">
        <v>1962</v>
      </c>
      <c r="AT102" t="s">
        <v>623</v>
      </c>
      <c r="AU102">
        <v>2008</v>
      </c>
      <c r="AV102">
        <v>8</v>
      </c>
      <c r="AW102">
        <v>1</v>
      </c>
      <c r="AX102" t="s">
        <v>16</v>
      </c>
      <c r="AY102" t="s">
        <v>16</v>
      </c>
      <c r="AZ102" t="s">
        <v>16</v>
      </c>
      <c r="BA102" t="s">
        <v>16</v>
      </c>
      <c r="BB102">
        <v>9</v>
      </c>
      <c r="BC102">
        <v>16</v>
      </c>
      <c r="BD102" t="s">
        <v>16</v>
      </c>
      <c r="BE102" t="s">
        <v>2001</v>
      </c>
      <c r="BF102" t="str">
        <f>HYPERLINK("http://dx.doi.org/10.12702/1984-7033.v08n01a02","http://dx.doi.org/10.12702/1984-7033.v08n01a02")</f>
        <v>http://dx.doi.org/10.12702/1984-7033.v08n01a02</v>
      </c>
      <c r="BG102" t="s">
        <v>16</v>
      </c>
      <c r="BH102" t="s">
        <v>16</v>
      </c>
      <c r="BI102">
        <v>8</v>
      </c>
      <c r="BJ102" t="s">
        <v>296</v>
      </c>
      <c r="BK102" t="s">
        <v>73</v>
      </c>
      <c r="BL102" t="s">
        <v>1964</v>
      </c>
      <c r="BM102" t="s">
        <v>2002</v>
      </c>
      <c r="BN102" t="s">
        <v>16</v>
      </c>
      <c r="BO102" t="s">
        <v>341</v>
      </c>
      <c r="BP102" t="s">
        <v>16</v>
      </c>
      <c r="BQ102" t="s">
        <v>16</v>
      </c>
      <c r="BR102" t="s">
        <v>44</v>
      </c>
      <c r="BS102" t="s">
        <v>2003</v>
      </c>
      <c r="BT102" t="str">
        <f>HYPERLINK("https%3A%2F%2Fwww.webofscience.com%2Fwos%2Fwoscc%2Ffull-record%2FWOS:000258198000002","View Full Record in Web of Science")</f>
        <v>View Full Record in Web of Science</v>
      </c>
    </row>
    <row r="103" spans="1:72" x14ac:dyDescent="0.2">
      <c r="A103" t="s">
        <v>141</v>
      </c>
      <c r="B103" t="s">
        <v>2004</v>
      </c>
      <c r="C103" t="s">
        <v>16</v>
      </c>
      <c r="D103" t="s">
        <v>775</v>
      </c>
      <c r="E103" t="s">
        <v>16</v>
      </c>
      <c r="F103" t="s">
        <v>2004</v>
      </c>
      <c r="G103" t="s">
        <v>16</v>
      </c>
      <c r="H103" t="s">
        <v>16</v>
      </c>
      <c r="I103" t="s">
        <v>2005</v>
      </c>
      <c r="J103" t="s">
        <v>777</v>
      </c>
      <c r="K103" t="s">
        <v>778</v>
      </c>
      <c r="L103" t="s">
        <v>16</v>
      </c>
      <c r="M103" t="s">
        <v>22</v>
      </c>
      <c r="N103" t="s">
        <v>147</v>
      </c>
      <c r="O103" t="s">
        <v>779</v>
      </c>
      <c r="P103" t="s">
        <v>780</v>
      </c>
      <c r="Q103" t="s">
        <v>781</v>
      </c>
      <c r="R103" t="s">
        <v>782</v>
      </c>
      <c r="S103" t="s">
        <v>783</v>
      </c>
      <c r="T103" t="s">
        <v>2006</v>
      </c>
      <c r="U103" t="s">
        <v>16</v>
      </c>
      <c r="V103" t="s">
        <v>2007</v>
      </c>
      <c r="W103" t="s">
        <v>16</v>
      </c>
      <c r="X103" t="s">
        <v>16</v>
      </c>
      <c r="Y103" t="s">
        <v>2008</v>
      </c>
      <c r="Z103" t="s">
        <v>16</v>
      </c>
      <c r="AA103" t="s">
        <v>1416</v>
      </c>
      <c r="AB103" t="s">
        <v>16</v>
      </c>
      <c r="AC103" t="s">
        <v>16</v>
      </c>
      <c r="AD103" t="s">
        <v>16</v>
      </c>
      <c r="AE103" t="s">
        <v>16</v>
      </c>
      <c r="AF103" t="s">
        <v>16</v>
      </c>
      <c r="AG103">
        <v>0</v>
      </c>
      <c r="AH103">
        <v>4</v>
      </c>
      <c r="AI103">
        <v>4</v>
      </c>
      <c r="AJ103">
        <v>0</v>
      </c>
      <c r="AK103">
        <v>2</v>
      </c>
      <c r="AL103" t="s">
        <v>224</v>
      </c>
      <c r="AM103" t="s">
        <v>225</v>
      </c>
      <c r="AN103" t="s">
        <v>788</v>
      </c>
      <c r="AO103" t="s">
        <v>16</v>
      </c>
      <c r="AP103" t="s">
        <v>16</v>
      </c>
      <c r="AQ103" t="s">
        <v>790</v>
      </c>
      <c r="AR103" t="s">
        <v>791</v>
      </c>
      <c r="AS103" t="s">
        <v>16</v>
      </c>
      <c r="AT103" t="s">
        <v>16</v>
      </c>
      <c r="AU103">
        <v>1997</v>
      </c>
      <c r="AV103">
        <v>6</v>
      </c>
      <c r="AW103" t="s">
        <v>16</v>
      </c>
      <c r="AX103" t="s">
        <v>16</v>
      </c>
      <c r="AY103" t="s">
        <v>16</v>
      </c>
      <c r="AZ103" t="s">
        <v>16</v>
      </c>
      <c r="BA103" t="s">
        <v>16</v>
      </c>
      <c r="BB103">
        <v>53</v>
      </c>
      <c r="BC103">
        <v>62</v>
      </c>
      <c r="BD103" t="s">
        <v>16</v>
      </c>
      <c r="BE103" t="s">
        <v>16</v>
      </c>
      <c r="BF103" t="s">
        <v>16</v>
      </c>
      <c r="BG103" t="s">
        <v>16</v>
      </c>
      <c r="BH103" t="s">
        <v>16</v>
      </c>
      <c r="BI103">
        <v>10</v>
      </c>
      <c r="BJ103" t="s">
        <v>40</v>
      </c>
      <c r="BK103" t="s">
        <v>167</v>
      </c>
      <c r="BL103" t="s">
        <v>42</v>
      </c>
      <c r="BM103" t="s">
        <v>793</v>
      </c>
      <c r="BN103" t="s">
        <v>16</v>
      </c>
      <c r="BO103" t="s">
        <v>16</v>
      </c>
      <c r="BP103" t="s">
        <v>16</v>
      </c>
      <c r="BQ103" t="s">
        <v>16</v>
      </c>
      <c r="BR103" t="s">
        <v>44</v>
      </c>
      <c r="BS103" t="s">
        <v>2009</v>
      </c>
      <c r="BT103" t="str">
        <f>HYPERLINK("https%3A%2F%2Fwww.webofscience.com%2Fwos%2Fwoscc%2Ffull-record%2FWOS:A1997BH23W00004","View Full Record in Web of Science")</f>
        <v>View Full Record in Web of Science</v>
      </c>
    </row>
    <row r="104" spans="1:72" x14ac:dyDescent="0.2">
      <c r="A104" t="s">
        <v>46</v>
      </c>
      <c r="B104" t="s">
        <v>2010</v>
      </c>
      <c r="C104" t="s">
        <v>16</v>
      </c>
      <c r="D104" t="s">
        <v>16</v>
      </c>
      <c r="E104" t="s">
        <v>16</v>
      </c>
      <c r="F104" t="s">
        <v>2010</v>
      </c>
      <c r="G104" t="s">
        <v>16</v>
      </c>
      <c r="H104" t="s">
        <v>16</v>
      </c>
      <c r="I104" t="s">
        <v>2011</v>
      </c>
      <c r="J104" t="s">
        <v>326</v>
      </c>
      <c r="K104" t="s">
        <v>16</v>
      </c>
      <c r="L104" t="s">
        <v>16</v>
      </c>
      <c r="M104" t="s">
        <v>22</v>
      </c>
      <c r="N104" t="s">
        <v>51</v>
      </c>
      <c r="O104" t="s">
        <v>16</v>
      </c>
      <c r="P104" t="s">
        <v>16</v>
      </c>
      <c r="Q104" t="s">
        <v>16</v>
      </c>
      <c r="R104" t="s">
        <v>16</v>
      </c>
      <c r="S104" t="s">
        <v>16</v>
      </c>
      <c r="T104" t="s">
        <v>16</v>
      </c>
      <c r="U104" t="s">
        <v>2012</v>
      </c>
      <c r="V104" t="s">
        <v>2013</v>
      </c>
      <c r="W104" t="s">
        <v>2014</v>
      </c>
      <c r="X104" t="s">
        <v>2015</v>
      </c>
      <c r="Y104" t="s">
        <v>2016</v>
      </c>
      <c r="Z104" t="s">
        <v>16</v>
      </c>
      <c r="AA104" t="s">
        <v>16</v>
      </c>
      <c r="AB104" t="s">
        <v>2017</v>
      </c>
      <c r="AC104" t="s">
        <v>16</v>
      </c>
      <c r="AD104" t="s">
        <v>16</v>
      </c>
      <c r="AE104" t="s">
        <v>16</v>
      </c>
      <c r="AF104" t="s">
        <v>16</v>
      </c>
      <c r="AG104">
        <v>30</v>
      </c>
      <c r="AH104">
        <v>28</v>
      </c>
      <c r="AI104">
        <v>30</v>
      </c>
      <c r="AJ104">
        <v>0</v>
      </c>
      <c r="AK104">
        <v>7</v>
      </c>
      <c r="AL104" t="s">
        <v>326</v>
      </c>
      <c r="AM104" t="s">
        <v>2018</v>
      </c>
      <c r="AN104" t="s">
        <v>2019</v>
      </c>
      <c r="AO104" t="s">
        <v>335</v>
      </c>
      <c r="AP104" t="s">
        <v>16</v>
      </c>
      <c r="AQ104" t="s">
        <v>16</v>
      </c>
      <c r="AR104" t="s">
        <v>326</v>
      </c>
      <c r="AS104" t="s">
        <v>337</v>
      </c>
      <c r="AT104" t="s">
        <v>135</v>
      </c>
      <c r="AU104">
        <v>2001</v>
      </c>
      <c r="AV104">
        <v>159</v>
      </c>
      <c r="AW104">
        <v>3</v>
      </c>
      <c r="AX104" t="s">
        <v>16</v>
      </c>
      <c r="AY104" t="s">
        <v>16</v>
      </c>
      <c r="AZ104" t="s">
        <v>16</v>
      </c>
      <c r="BA104" t="s">
        <v>16</v>
      </c>
      <c r="BB104">
        <v>1339</v>
      </c>
      <c r="BC104">
        <v>1350</v>
      </c>
      <c r="BD104" t="s">
        <v>16</v>
      </c>
      <c r="BE104" t="s">
        <v>16</v>
      </c>
      <c r="BF104" t="s">
        <v>16</v>
      </c>
      <c r="BG104" t="s">
        <v>16</v>
      </c>
      <c r="BH104" t="s">
        <v>16</v>
      </c>
      <c r="BI104">
        <v>12</v>
      </c>
      <c r="BJ104" t="s">
        <v>339</v>
      </c>
      <c r="BK104" t="s">
        <v>73</v>
      </c>
      <c r="BL104" t="s">
        <v>339</v>
      </c>
      <c r="BM104" t="s">
        <v>2020</v>
      </c>
      <c r="BN104">
        <v>11729174</v>
      </c>
      <c r="BO104" t="s">
        <v>16</v>
      </c>
      <c r="BP104" t="s">
        <v>16</v>
      </c>
      <c r="BQ104" t="s">
        <v>16</v>
      </c>
      <c r="BR104" t="s">
        <v>44</v>
      </c>
      <c r="BS104" t="s">
        <v>2021</v>
      </c>
      <c r="BT104" t="str">
        <f>HYPERLINK("https%3A%2F%2Fwww.webofscience.com%2Fwos%2Fwoscc%2Ffull-record%2FWOS:000172665800035","View Full Record in Web of Science")</f>
        <v>View Full Record in Web of Science</v>
      </c>
    </row>
    <row r="105" spans="1:72" x14ac:dyDescent="0.2">
      <c r="A105" t="s">
        <v>46</v>
      </c>
      <c r="B105" t="s">
        <v>2022</v>
      </c>
      <c r="C105" t="s">
        <v>16</v>
      </c>
      <c r="D105" t="s">
        <v>16</v>
      </c>
      <c r="E105" t="s">
        <v>16</v>
      </c>
      <c r="F105" t="s">
        <v>2023</v>
      </c>
      <c r="G105" t="s">
        <v>16</v>
      </c>
      <c r="H105" t="s">
        <v>16</v>
      </c>
      <c r="I105" t="s">
        <v>2024</v>
      </c>
      <c r="J105" t="s">
        <v>2025</v>
      </c>
      <c r="K105" t="s">
        <v>16</v>
      </c>
      <c r="L105" t="s">
        <v>16</v>
      </c>
      <c r="M105" t="s">
        <v>22</v>
      </c>
      <c r="N105" t="s">
        <v>51</v>
      </c>
      <c r="O105" t="s">
        <v>16</v>
      </c>
      <c r="P105" t="s">
        <v>16</v>
      </c>
      <c r="Q105" t="s">
        <v>16</v>
      </c>
      <c r="R105" t="s">
        <v>16</v>
      </c>
      <c r="S105" t="s">
        <v>16</v>
      </c>
      <c r="T105" t="s">
        <v>2026</v>
      </c>
      <c r="U105" t="s">
        <v>2027</v>
      </c>
      <c r="V105" t="s">
        <v>2028</v>
      </c>
      <c r="W105" t="s">
        <v>2029</v>
      </c>
      <c r="X105" t="s">
        <v>2030</v>
      </c>
      <c r="Y105" t="s">
        <v>2031</v>
      </c>
      <c r="Z105" t="s">
        <v>16</v>
      </c>
      <c r="AA105" t="s">
        <v>2032</v>
      </c>
      <c r="AB105" t="s">
        <v>106</v>
      </c>
      <c r="AC105" t="s">
        <v>16</v>
      </c>
      <c r="AD105" t="s">
        <v>16</v>
      </c>
      <c r="AE105" t="s">
        <v>16</v>
      </c>
      <c r="AF105" t="s">
        <v>16</v>
      </c>
      <c r="AG105">
        <v>39</v>
      </c>
      <c r="AH105">
        <v>8</v>
      </c>
      <c r="AI105">
        <v>8</v>
      </c>
      <c r="AJ105">
        <v>1</v>
      </c>
      <c r="AK105">
        <v>18</v>
      </c>
      <c r="AL105" t="s">
        <v>569</v>
      </c>
      <c r="AM105" t="s">
        <v>570</v>
      </c>
      <c r="AN105" t="s">
        <v>571</v>
      </c>
      <c r="AO105" t="s">
        <v>2033</v>
      </c>
      <c r="AP105" t="s">
        <v>2034</v>
      </c>
      <c r="AQ105" t="s">
        <v>16</v>
      </c>
      <c r="AR105" t="s">
        <v>2035</v>
      </c>
      <c r="AS105" t="s">
        <v>2036</v>
      </c>
      <c r="AT105" t="s">
        <v>2037</v>
      </c>
      <c r="AU105">
        <v>2010</v>
      </c>
      <c r="AV105">
        <v>54</v>
      </c>
      <c r="AW105">
        <v>7</v>
      </c>
      <c r="AX105" t="s">
        <v>16</v>
      </c>
      <c r="AY105" t="s">
        <v>16</v>
      </c>
      <c r="AZ105" t="s">
        <v>16</v>
      </c>
      <c r="BA105" t="s">
        <v>16</v>
      </c>
      <c r="BB105">
        <v>1840</v>
      </c>
      <c r="BC105">
        <v>1857</v>
      </c>
      <c r="BD105" t="s">
        <v>16</v>
      </c>
      <c r="BE105" t="s">
        <v>2038</v>
      </c>
      <c r="BF105" t="str">
        <f>HYPERLINK("http://dx.doi.org/10.1016/j.csda.2010.02.007","http://dx.doi.org/10.1016/j.csda.2010.02.007")</f>
        <v>http://dx.doi.org/10.1016/j.csda.2010.02.007</v>
      </c>
      <c r="BG105" t="s">
        <v>16</v>
      </c>
      <c r="BH105" t="s">
        <v>16</v>
      </c>
      <c r="BI105">
        <v>18</v>
      </c>
      <c r="BJ105" t="s">
        <v>296</v>
      </c>
      <c r="BK105" t="s">
        <v>73</v>
      </c>
      <c r="BL105" t="s">
        <v>2039</v>
      </c>
      <c r="BM105" t="s">
        <v>2040</v>
      </c>
      <c r="BN105" t="s">
        <v>16</v>
      </c>
      <c r="BO105" t="s">
        <v>16</v>
      </c>
      <c r="BP105" t="s">
        <v>16</v>
      </c>
      <c r="BQ105" t="s">
        <v>16</v>
      </c>
      <c r="BR105" t="s">
        <v>44</v>
      </c>
      <c r="BS105" t="s">
        <v>2041</v>
      </c>
      <c r="BT105" t="str">
        <f>HYPERLINK("https%3A%2F%2Fwww.webofscience.com%2Fwos%2Fwoscc%2Ffull-record%2FWOS:000277110000012","View Full Record in Web of Science")</f>
        <v>View Full Record in Web of Science</v>
      </c>
    </row>
    <row r="106" spans="1:72" x14ac:dyDescent="0.2">
      <c r="A106" t="s">
        <v>46</v>
      </c>
      <c r="B106" t="s">
        <v>2042</v>
      </c>
      <c r="C106" t="s">
        <v>16</v>
      </c>
      <c r="D106" t="s">
        <v>16</v>
      </c>
      <c r="E106" t="s">
        <v>16</v>
      </c>
      <c r="F106" t="s">
        <v>2043</v>
      </c>
      <c r="G106" t="s">
        <v>16</v>
      </c>
      <c r="H106" t="s">
        <v>16</v>
      </c>
      <c r="I106" t="s">
        <v>2044</v>
      </c>
      <c r="J106" t="s">
        <v>2045</v>
      </c>
      <c r="K106" t="s">
        <v>16</v>
      </c>
      <c r="L106" t="s">
        <v>16</v>
      </c>
      <c r="M106" t="s">
        <v>22</v>
      </c>
      <c r="N106" t="s">
        <v>51</v>
      </c>
      <c r="O106" t="s">
        <v>16</v>
      </c>
      <c r="P106" t="s">
        <v>16</v>
      </c>
      <c r="Q106" t="s">
        <v>16</v>
      </c>
      <c r="R106" t="s">
        <v>16</v>
      </c>
      <c r="S106" t="s">
        <v>16</v>
      </c>
      <c r="T106" t="s">
        <v>16</v>
      </c>
      <c r="U106" t="s">
        <v>2046</v>
      </c>
      <c r="V106" t="s">
        <v>2047</v>
      </c>
      <c r="W106" t="s">
        <v>2048</v>
      </c>
      <c r="X106" t="s">
        <v>2049</v>
      </c>
      <c r="Y106" t="s">
        <v>2050</v>
      </c>
      <c r="Z106" t="s">
        <v>2051</v>
      </c>
      <c r="AA106" t="s">
        <v>2052</v>
      </c>
      <c r="AB106" t="s">
        <v>2053</v>
      </c>
      <c r="AC106" t="s">
        <v>16</v>
      </c>
      <c r="AD106" t="s">
        <v>16</v>
      </c>
      <c r="AE106" t="s">
        <v>16</v>
      </c>
      <c r="AF106" t="s">
        <v>16</v>
      </c>
      <c r="AG106">
        <v>24</v>
      </c>
      <c r="AH106">
        <v>82</v>
      </c>
      <c r="AI106">
        <v>87</v>
      </c>
      <c r="AJ106">
        <v>0</v>
      </c>
      <c r="AK106">
        <v>20</v>
      </c>
      <c r="AL106" t="s">
        <v>2054</v>
      </c>
      <c r="AM106" t="s">
        <v>129</v>
      </c>
      <c r="AN106" t="s">
        <v>2055</v>
      </c>
      <c r="AO106" t="s">
        <v>2056</v>
      </c>
      <c r="AP106" t="s">
        <v>2057</v>
      </c>
      <c r="AQ106" t="s">
        <v>16</v>
      </c>
      <c r="AR106" t="s">
        <v>2058</v>
      </c>
      <c r="AS106" t="s">
        <v>2059</v>
      </c>
      <c r="AT106" t="s">
        <v>576</v>
      </c>
      <c r="AU106">
        <v>2006</v>
      </c>
      <c r="AV106">
        <v>144</v>
      </c>
      <c r="AW106" t="s">
        <v>16</v>
      </c>
      <c r="AX106">
        <v>5</v>
      </c>
      <c r="AY106" t="s">
        <v>16</v>
      </c>
      <c r="AZ106" t="s">
        <v>16</v>
      </c>
      <c r="BA106" t="s">
        <v>16</v>
      </c>
      <c r="BB106">
        <v>393</v>
      </c>
      <c r="BC106">
        <v>409</v>
      </c>
      <c r="BD106" t="s">
        <v>16</v>
      </c>
      <c r="BE106" t="s">
        <v>2060</v>
      </c>
      <c r="BF106" t="str">
        <f>HYPERLINK("http://dx.doi.org/10.1017/S0021859606006319","http://dx.doi.org/10.1017/S0021859606006319")</f>
        <v>http://dx.doi.org/10.1017/S0021859606006319</v>
      </c>
      <c r="BG106" t="s">
        <v>16</v>
      </c>
      <c r="BH106" t="s">
        <v>16</v>
      </c>
      <c r="BI106">
        <v>17</v>
      </c>
      <c r="BJ106" t="s">
        <v>625</v>
      </c>
      <c r="BK106" t="s">
        <v>73</v>
      </c>
      <c r="BL106" t="s">
        <v>42</v>
      </c>
      <c r="BM106" t="s">
        <v>2061</v>
      </c>
      <c r="BN106" t="s">
        <v>16</v>
      </c>
      <c r="BO106" t="s">
        <v>729</v>
      </c>
      <c r="BP106" t="s">
        <v>16</v>
      </c>
      <c r="BQ106" t="s">
        <v>16</v>
      </c>
      <c r="BR106" t="s">
        <v>44</v>
      </c>
      <c r="BS106" t="s">
        <v>2062</v>
      </c>
      <c r="BT106" t="str">
        <f>HYPERLINK("https%3A%2F%2Fwww.webofscience.com%2Fwos%2Fwoscc%2Ffull-record%2FWOS:000241811000002","View Full Record in Web of Science")</f>
        <v>View Full Record in Web of Science</v>
      </c>
    </row>
    <row r="107" spans="1:72" x14ac:dyDescent="0.2">
      <c r="A107" t="s">
        <v>46</v>
      </c>
      <c r="B107" t="s">
        <v>2063</v>
      </c>
      <c r="C107" t="s">
        <v>16</v>
      </c>
      <c r="D107" t="s">
        <v>16</v>
      </c>
      <c r="E107" t="s">
        <v>16</v>
      </c>
      <c r="F107" t="s">
        <v>2063</v>
      </c>
      <c r="G107" t="s">
        <v>16</v>
      </c>
      <c r="H107" t="s">
        <v>16</v>
      </c>
      <c r="I107" t="s">
        <v>2064</v>
      </c>
      <c r="J107" t="s">
        <v>609</v>
      </c>
      <c r="K107" t="s">
        <v>16</v>
      </c>
      <c r="L107" t="s">
        <v>16</v>
      </c>
      <c r="M107" t="s">
        <v>253</v>
      </c>
      <c r="N107" t="s">
        <v>51</v>
      </c>
      <c r="O107" t="s">
        <v>16</v>
      </c>
      <c r="P107" t="s">
        <v>16</v>
      </c>
      <c r="Q107" t="s">
        <v>16</v>
      </c>
      <c r="R107" t="s">
        <v>16</v>
      </c>
      <c r="S107" t="s">
        <v>16</v>
      </c>
      <c r="T107" t="s">
        <v>2065</v>
      </c>
      <c r="U107" t="s">
        <v>2066</v>
      </c>
      <c r="V107" t="s">
        <v>2067</v>
      </c>
      <c r="W107" t="s">
        <v>2068</v>
      </c>
      <c r="X107" t="s">
        <v>16</v>
      </c>
      <c r="Y107" t="s">
        <v>2069</v>
      </c>
      <c r="Z107" t="s">
        <v>16</v>
      </c>
      <c r="AA107" t="s">
        <v>2070</v>
      </c>
      <c r="AB107" t="s">
        <v>2071</v>
      </c>
      <c r="AC107" t="s">
        <v>16</v>
      </c>
      <c r="AD107" t="s">
        <v>16</v>
      </c>
      <c r="AE107" t="s">
        <v>16</v>
      </c>
      <c r="AF107" t="s">
        <v>16</v>
      </c>
      <c r="AG107">
        <v>19</v>
      </c>
      <c r="AH107">
        <v>7</v>
      </c>
      <c r="AI107">
        <v>7</v>
      </c>
      <c r="AJ107">
        <v>0</v>
      </c>
      <c r="AK107">
        <v>0</v>
      </c>
      <c r="AL107" t="s">
        <v>616</v>
      </c>
      <c r="AM107" t="s">
        <v>617</v>
      </c>
      <c r="AN107" t="s">
        <v>618</v>
      </c>
      <c r="AO107" t="s">
        <v>619</v>
      </c>
      <c r="AP107" t="s">
        <v>620</v>
      </c>
      <c r="AQ107" t="s">
        <v>16</v>
      </c>
      <c r="AR107" t="s">
        <v>621</v>
      </c>
      <c r="AS107" t="s">
        <v>622</v>
      </c>
      <c r="AT107" t="s">
        <v>812</v>
      </c>
      <c r="AU107">
        <v>2001</v>
      </c>
      <c r="AV107">
        <v>36</v>
      </c>
      <c r="AW107">
        <v>9</v>
      </c>
      <c r="AX107" t="s">
        <v>16</v>
      </c>
      <c r="AY107" t="s">
        <v>16</v>
      </c>
      <c r="AZ107" t="s">
        <v>16</v>
      </c>
      <c r="BA107" t="s">
        <v>16</v>
      </c>
      <c r="BB107">
        <v>1155</v>
      </c>
      <c r="BC107">
        <v>1167</v>
      </c>
      <c r="BD107" t="s">
        <v>16</v>
      </c>
      <c r="BE107" t="s">
        <v>2072</v>
      </c>
      <c r="BF107" t="str">
        <f>HYPERLINK("http://dx.doi.org/10.1590/S0100-204X2001000900009","http://dx.doi.org/10.1590/S0100-204X2001000900009")</f>
        <v>http://dx.doi.org/10.1590/S0100-204X2001000900009</v>
      </c>
      <c r="BG107" t="s">
        <v>16</v>
      </c>
      <c r="BH107" t="s">
        <v>16</v>
      </c>
      <c r="BI107">
        <v>13</v>
      </c>
      <c r="BJ107" t="s">
        <v>625</v>
      </c>
      <c r="BK107" t="s">
        <v>73</v>
      </c>
      <c r="BL107" t="s">
        <v>42</v>
      </c>
      <c r="BM107" t="s">
        <v>2073</v>
      </c>
      <c r="BN107" t="s">
        <v>16</v>
      </c>
      <c r="BO107" t="s">
        <v>511</v>
      </c>
      <c r="BP107" t="s">
        <v>16</v>
      </c>
      <c r="BQ107" t="s">
        <v>16</v>
      </c>
      <c r="BR107" t="s">
        <v>44</v>
      </c>
      <c r="BS107" t="s">
        <v>2074</v>
      </c>
      <c r="BT107" t="str">
        <f>HYPERLINK("https%3A%2F%2Fwww.webofscience.com%2Fwos%2Fwoscc%2Ffull-record%2FWOS:000171449100009","View Full Record in Web of Science")</f>
        <v>View Full Record in Web of Science</v>
      </c>
    </row>
    <row r="108" spans="1:72" x14ac:dyDescent="0.2">
      <c r="A108" t="s">
        <v>46</v>
      </c>
      <c r="B108" t="s">
        <v>2075</v>
      </c>
      <c r="C108" t="s">
        <v>16</v>
      </c>
      <c r="D108" t="s">
        <v>16</v>
      </c>
      <c r="E108" t="s">
        <v>16</v>
      </c>
      <c r="F108" t="s">
        <v>2075</v>
      </c>
      <c r="G108" t="s">
        <v>16</v>
      </c>
      <c r="H108" t="s">
        <v>16</v>
      </c>
      <c r="I108" t="s">
        <v>2076</v>
      </c>
      <c r="J108" t="s">
        <v>2077</v>
      </c>
      <c r="K108" t="s">
        <v>16</v>
      </c>
      <c r="L108" t="s">
        <v>16</v>
      </c>
      <c r="M108" t="s">
        <v>22</v>
      </c>
      <c r="N108" t="s">
        <v>51</v>
      </c>
      <c r="O108" t="s">
        <v>16</v>
      </c>
      <c r="P108" t="s">
        <v>16</v>
      </c>
      <c r="Q108" t="s">
        <v>16</v>
      </c>
      <c r="R108" t="s">
        <v>16</v>
      </c>
      <c r="S108" t="s">
        <v>16</v>
      </c>
      <c r="T108" t="s">
        <v>2078</v>
      </c>
      <c r="U108" t="s">
        <v>2079</v>
      </c>
      <c r="V108" t="s">
        <v>2080</v>
      </c>
      <c r="W108" t="s">
        <v>2081</v>
      </c>
      <c r="X108" t="s">
        <v>2082</v>
      </c>
      <c r="Y108" t="s">
        <v>2083</v>
      </c>
      <c r="Z108" t="s">
        <v>2084</v>
      </c>
      <c r="AA108" t="s">
        <v>2085</v>
      </c>
      <c r="AB108" t="s">
        <v>2086</v>
      </c>
      <c r="AC108" t="s">
        <v>16</v>
      </c>
      <c r="AD108" t="s">
        <v>16</v>
      </c>
      <c r="AE108" t="s">
        <v>16</v>
      </c>
      <c r="AF108" t="s">
        <v>16</v>
      </c>
      <c r="AG108">
        <v>20</v>
      </c>
      <c r="AH108">
        <v>1</v>
      </c>
      <c r="AI108">
        <v>3</v>
      </c>
      <c r="AJ108">
        <v>1</v>
      </c>
      <c r="AK108">
        <v>2</v>
      </c>
      <c r="AL108" t="s">
        <v>1323</v>
      </c>
      <c r="AM108" t="s">
        <v>570</v>
      </c>
      <c r="AN108" t="s">
        <v>1324</v>
      </c>
      <c r="AO108" t="s">
        <v>2087</v>
      </c>
      <c r="AP108" t="s">
        <v>2088</v>
      </c>
      <c r="AQ108" t="s">
        <v>16</v>
      </c>
      <c r="AR108" t="s">
        <v>2089</v>
      </c>
      <c r="AS108" t="s">
        <v>2090</v>
      </c>
      <c r="AT108" t="s">
        <v>2091</v>
      </c>
      <c r="AU108">
        <v>2005</v>
      </c>
      <c r="AV108">
        <v>246</v>
      </c>
      <c r="AW108" t="s">
        <v>2092</v>
      </c>
      <c r="AX108" t="s">
        <v>16</v>
      </c>
      <c r="AY108" t="s">
        <v>16</v>
      </c>
      <c r="AZ108" t="s">
        <v>16</v>
      </c>
      <c r="BA108" t="s">
        <v>16</v>
      </c>
      <c r="BB108">
        <v>117</v>
      </c>
      <c r="BC108">
        <v>125</v>
      </c>
      <c r="BD108" t="s">
        <v>16</v>
      </c>
      <c r="BE108" t="s">
        <v>2093</v>
      </c>
      <c r="BF108" t="str">
        <f>HYPERLINK("http://dx.doi.org/10.1016/j.apsusc.2004.10.053","http://dx.doi.org/10.1016/j.apsusc.2004.10.053")</f>
        <v>http://dx.doi.org/10.1016/j.apsusc.2004.10.053</v>
      </c>
      <c r="BG108" t="s">
        <v>16</v>
      </c>
      <c r="BH108" t="s">
        <v>16</v>
      </c>
      <c r="BI108">
        <v>9</v>
      </c>
      <c r="BJ108" t="s">
        <v>296</v>
      </c>
      <c r="BK108" t="s">
        <v>73</v>
      </c>
      <c r="BL108" t="s">
        <v>2094</v>
      </c>
      <c r="BM108" t="s">
        <v>2095</v>
      </c>
      <c r="BN108" t="s">
        <v>16</v>
      </c>
      <c r="BO108" t="s">
        <v>16</v>
      </c>
      <c r="BP108" t="s">
        <v>16</v>
      </c>
      <c r="BQ108" t="s">
        <v>16</v>
      </c>
      <c r="BR108" t="s">
        <v>44</v>
      </c>
      <c r="BS108" t="s">
        <v>2096</v>
      </c>
      <c r="BT108" t="str">
        <f>HYPERLINK("https%3A%2F%2Fwww.webofscience.com%2Fwos%2Fwoscc%2Ffull-record%2FWOS:000229344800018","View Full Record in Web of Science")</f>
        <v>View Full Record in Web of Science</v>
      </c>
    </row>
    <row r="109" spans="1:72" x14ac:dyDescent="0.2">
      <c r="A109" t="s">
        <v>46</v>
      </c>
      <c r="B109" t="s">
        <v>2097</v>
      </c>
      <c r="C109" t="s">
        <v>16</v>
      </c>
      <c r="D109" t="s">
        <v>16</v>
      </c>
      <c r="E109" t="s">
        <v>16</v>
      </c>
      <c r="F109" t="s">
        <v>2098</v>
      </c>
      <c r="G109" t="s">
        <v>16</v>
      </c>
      <c r="H109" t="s">
        <v>16</v>
      </c>
      <c r="I109" t="s">
        <v>2099</v>
      </c>
      <c r="J109" t="s">
        <v>197</v>
      </c>
      <c r="K109" t="s">
        <v>16</v>
      </c>
      <c r="L109" t="s">
        <v>16</v>
      </c>
      <c r="M109" t="s">
        <v>22</v>
      </c>
      <c r="N109" t="s">
        <v>51</v>
      </c>
      <c r="O109" t="s">
        <v>16</v>
      </c>
      <c r="P109" t="s">
        <v>16</v>
      </c>
      <c r="Q109" t="s">
        <v>16</v>
      </c>
      <c r="R109" t="s">
        <v>16</v>
      </c>
      <c r="S109" t="s">
        <v>16</v>
      </c>
      <c r="T109" t="s">
        <v>2100</v>
      </c>
      <c r="U109" t="s">
        <v>2101</v>
      </c>
      <c r="V109" t="s">
        <v>2102</v>
      </c>
      <c r="W109" t="s">
        <v>2103</v>
      </c>
      <c r="X109" t="s">
        <v>2104</v>
      </c>
      <c r="Y109" t="s">
        <v>2105</v>
      </c>
      <c r="Z109" t="s">
        <v>2106</v>
      </c>
      <c r="AA109" t="s">
        <v>2052</v>
      </c>
      <c r="AB109" t="s">
        <v>2107</v>
      </c>
      <c r="AC109" t="s">
        <v>2108</v>
      </c>
      <c r="AD109" t="s">
        <v>2109</v>
      </c>
      <c r="AE109" t="s">
        <v>2110</v>
      </c>
      <c r="AF109" t="s">
        <v>16</v>
      </c>
      <c r="AG109">
        <v>22</v>
      </c>
      <c r="AH109">
        <v>1</v>
      </c>
      <c r="AI109">
        <v>1</v>
      </c>
      <c r="AJ109">
        <v>1</v>
      </c>
      <c r="AK109">
        <v>2</v>
      </c>
      <c r="AL109" t="s">
        <v>206</v>
      </c>
      <c r="AM109" t="s">
        <v>207</v>
      </c>
      <c r="AN109" t="s">
        <v>208</v>
      </c>
      <c r="AO109" t="s">
        <v>209</v>
      </c>
      <c r="AP109" t="s">
        <v>16</v>
      </c>
      <c r="AQ109" t="s">
        <v>16</v>
      </c>
      <c r="AR109" t="s">
        <v>210</v>
      </c>
      <c r="AS109" t="s">
        <v>211</v>
      </c>
      <c r="AT109" t="s">
        <v>2111</v>
      </c>
      <c r="AU109">
        <v>2021</v>
      </c>
      <c r="AV109">
        <v>12</v>
      </c>
      <c r="AW109" t="s">
        <v>16</v>
      </c>
      <c r="AX109" t="s">
        <v>16</v>
      </c>
      <c r="AY109" t="s">
        <v>16</v>
      </c>
      <c r="AZ109" t="s">
        <v>16</v>
      </c>
      <c r="BA109" t="s">
        <v>16</v>
      </c>
      <c r="BB109" t="s">
        <v>16</v>
      </c>
      <c r="BC109" t="s">
        <v>16</v>
      </c>
      <c r="BD109">
        <v>785430</v>
      </c>
      <c r="BE109" t="s">
        <v>2112</v>
      </c>
      <c r="BF109" t="str">
        <f>HYPERLINK("http://dx.doi.org/10.3389/fpls.2021.785430","http://dx.doi.org/10.3389/fpls.2021.785430")</f>
        <v>http://dx.doi.org/10.3389/fpls.2021.785430</v>
      </c>
      <c r="BG109" t="s">
        <v>16</v>
      </c>
      <c r="BH109" t="s">
        <v>16</v>
      </c>
      <c r="BI109">
        <v>16</v>
      </c>
      <c r="BJ109" t="s">
        <v>214</v>
      </c>
      <c r="BK109" t="s">
        <v>73</v>
      </c>
      <c r="BL109" t="s">
        <v>214</v>
      </c>
      <c r="BM109" t="s">
        <v>2113</v>
      </c>
      <c r="BN109">
        <v>34950171</v>
      </c>
      <c r="BO109" t="s">
        <v>216</v>
      </c>
      <c r="BP109" t="s">
        <v>16</v>
      </c>
      <c r="BQ109" t="s">
        <v>16</v>
      </c>
      <c r="BR109" t="s">
        <v>44</v>
      </c>
      <c r="BS109" t="s">
        <v>2114</v>
      </c>
      <c r="BT109" t="str">
        <f>HYPERLINK("https%3A%2F%2Fwww.webofscience.com%2Fwos%2Fwoscc%2Ffull-record%2FWOS:000742673900001","View Full Record in Web of Science")</f>
        <v>View Full Record in Web of Science</v>
      </c>
    </row>
    <row r="110" spans="1:72" x14ac:dyDescent="0.2">
      <c r="A110" t="s">
        <v>46</v>
      </c>
      <c r="B110" t="s">
        <v>2115</v>
      </c>
      <c r="C110" t="s">
        <v>16</v>
      </c>
      <c r="D110" t="s">
        <v>16</v>
      </c>
      <c r="E110" t="s">
        <v>16</v>
      </c>
      <c r="F110" t="s">
        <v>2116</v>
      </c>
      <c r="G110" t="s">
        <v>16</v>
      </c>
      <c r="H110" t="s">
        <v>16</v>
      </c>
      <c r="I110" t="s">
        <v>2117</v>
      </c>
      <c r="J110" t="s">
        <v>2118</v>
      </c>
      <c r="K110" t="s">
        <v>16</v>
      </c>
      <c r="L110" t="s">
        <v>16</v>
      </c>
      <c r="M110" t="s">
        <v>22</v>
      </c>
      <c r="N110" t="s">
        <v>51</v>
      </c>
      <c r="O110" t="s">
        <v>16</v>
      </c>
      <c r="P110" t="s">
        <v>16</v>
      </c>
      <c r="Q110" t="s">
        <v>16</v>
      </c>
      <c r="R110" t="s">
        <v>16</v>
      </c>
      <c r="S110" t="s">
        <v>16</v>
      </c>
      <c r="T110" t="s">
        <v>2119</v>
      </c>
      <c r="U110" t="s">
        <v>2120</v>
      </c>
      <c r="V110" t="s">
        <v>2121</v>
      </c>
      <c r="W110" t="s">
        <v>2122</v>
      </c>
      <c r="X110" t="s">
        <v>2123</v>
      </c>
      <c r="Y110" t="s">
        <v>2124</v>
      </c>
      <c r="Z110" t="s">
        <v>2125</v>
      </c>
      <c r="AA110" t="s">
        <v>2126</v>
      </c>
      <c r="AB110" t="s">
        <v>2127</v>
      </c>
      <c r="AC110" t="s">
        <v>2128</v>
      </c>
      <c r="AD110" t="s">
        <v>2129</v>
      </c>
      <c r="AE110" t="s">
        <v>2130</v>
      </c>
      <c r="AF110" t="s">
        <v>16</v>
      </c>
      <c r="AG110">
        <v>26</v>
      </c>
      <c r="AH110">
        <v>3</v>
      </c>
      <c r="AI110">
        <v>5</v>
      </c>
      <c r="AJ110">
        <v>0</v>
      </c>
      <c r="AK110">
        <v>17</v>
      </c>
      <c r="AL110" t="s">
        <v>63</v>
      </c>
      <c r="AM110" t="s">
        <v>64</v>
      </c>
      <c r="AN110" t="s">
        <v>65</v>
      </c>
      <c r="AO110" t="s">
        <v>2131</v>
      </c>
      <c r="AP110" t="s">
        <v>2132</v>
      </c>
      <c r="AQ110" t="s">
        <v>16</v>
      </c>
      <c r="AR110" t="s">
        <v>2133</v>
      </c>
      <c r="AS110" t="s">
        <v>2134</v>
      </c>
      <c r="AT110" t="s">
        <v>1233</v>
      </c>
      <c r="AU110">
        <v>2016</v>
      </c>
      <c r="AV110">
        <v>133</v>
      </c>
      <c r="AW110">
        <v>2</v>
      </c>
      <c r="AX110" t="s">
        <v>16</v>
      </c>
      <c r="AY110" t="s">
        <v>16</v>
      </c>
      <c r="AZ110" t="s">
        <v>16</v>
      </c>
      <c r="BA110" t="s">
        <v>16</v>
      </c>
      <c r="BB110">
        <v>85</v>
      </c>
      <c r="BC110">
        <v>91</v>
      </c>
      <c r="BD110" t="s">
        <v>16</v>
      </c>
      <c r="BE110" t="s">
        <v>2135</v>
      </c>
      <c r="BF110" t="str">
        <f>HYPERLINK("http://dx.doi.org/10.1111/jbg.12200","http://dx.doi.org/10.1111/jbg.12200")</f>
        <v>http://dx.doi.org/10.1111/jbg.12200</v>
      </c>
      <c r="BG110" t="s">
        <v>16</v>
      </c>
      <c r="BH110" t="s">
        <v>16</v>
      </c>
      <c r="BI110">
        <v>7</v>
      </c>
      <c r="BJ110" t="s">
        <v>296</v>
      </c>
      <c r="BK110" t="s">
        <v>73</v>
      </c>
      <c r="BL110" t="s">
        <v>42</v>
      </c>
      <c r="BM110" t="s">
        <v>2136</v>
      </c>
      <c r="BN110">
        <v>26995218</v>
      </c>
      <c r="BO110" t="s">
        <v>16</v>
      </c>
      <c r="BP110" t="s">
        <v>16</v>
      </c>
      <c r="BQ110" t="s">
        <v>16</v>
      </c>
      <c r="BR110" t="s">
        <v>44</v>
      </c>
      <c r="BS110" t="s">
        <v>2137</v>
      </c>
      <c r="BT110" t="str">
        <f>HYPERLINK("https%3A%2F%2Fwww.webofscience.com%2Fwos%2Fwoscc%2Ffull-record%2FWOS:000372889900003","View Full Record in Web of Science")</f>
        <v>View Full Record in Web of Science</v>
      </c>
    </row>
    <row r="111" spans="1:72" x14ac:dyDescent="0.2">
      <c r="A111" t="s">
        <v>46</v>
      </c>
      <c r="B111" t="s">
        <v>2138</v>
      </c>
      <c r="C111" t="s">
        <v>16</v>
      </c>
      <c r="D111" t="s">
        <v>16</v>
      </c>
      <c r="E111" t="s">
        <v>16</v>
      </c>
      <c r="F111" t="s">
        <v>2139</v>
      </c>
      <c r="G111" t="s">
        <v>16</v>
      </c>
      <c r="H111" t="s">
        <v>16</v>
      </c>
      <c r="I111" t="s">
        <v>2140</v>
      </c>
      <c r="J111" t="s">
        <v>2141</v>
      </c>
      <c r="K111" t="s">
        <v>16</v>
      </c>
      <c r="L111" t="s">
        <v>16</v>
      </c>
      <c r="M111" t="s">
        <v>22</v>
      </c>
      <c r="N111" t="s">
        <v>51</v>
      </c>
      <c r="O111" t="s">
        <v>16</v>
      </c>
      <c r="P111" t="s">
        <v>16</v>
      </c>
      <c r="Q111" t="s">
        <v>16</v>
      </c>
      <c r="R111" t="s">
        <v>16</v>
      </c>
      <c r="S111" t="s">
        <v>16</v>
      </c>
      <c r="T111" t="s">
        <v>2142</v>
      </c>
      <c r="U111" t="s">
        <v>2143</v>
      </c>
      <c r="V111" t="s">
        <v>2144</v>
      </c>
      <c r="W111" t="s">
        <v>2145</v>
      </c>
      <c r="X111" t="s">
        <v>2146</v>
      </c>
      <c r="Y111" t="s">
        <v>2147</v>
      </c>
      <c r="Z111" t="s">
        <v>2148</v>
      </c>
      <c r="AA111" t="s">
        <v>2149</v>
      </c>
      <c r="AB111" t="s">
        <v>2150</v>
      </c>
      <c r="AC111" t="s">
        <v>2151</v>
      </c>
      <c r="AD111" t="s">
        <v>2152</v>
      </c>
      <c r="AE111" t="s">
        <v>2153</v>
      </c>
      <c r="AF111" t="s">
        <v>16</v>
      </c>
      <c r="AG111">
        <v>29</v>
      </c>
      <c r="AH111">
        <v>15</v>
      </c>
      <c r="AI111">
        <v>15</v>
      </c>
      <c r="AJ111">
        <v>2</v>
      </c>
      <c r="AK111">
        <v>45</v>
      </c>
      <c r="AL111" t="s">
        <v>2154</v>
      </c>
      <c r="AM111" t="s">
        <v>721</v>
      </c>
      <c r="AN111" t="s">
        <v>2155</v>
      </c>
      <c r="AO111" t="s">
        <v>2156</v>
      </c>
      <c r="AP111" t="s">
        <v>2157</v>
      </c>
      <c r="AQ111" t="s">
        <v>16</v>
      </c>
      <c r="AR111" t="s">
        <v>2158</v>
      </c>
      <c r="AS111" t="s">
        <v>2159</v>
      </c>
      <c r="AT111" t="s">
        <v>318</v>
      </c>
      <c r="AU111">
        <v>2018</v>
      </c>
      <c r="AV111">
        <v>119</v>
      </c>
      <c r="AW111" t="s">
        <v>16</v>
      </c>
      <c r="AX111" t="s">
        <v>16</v>
      </c>
      <c r="AY111" t="s">
        <v>16</v>
      </c>
      <c r="AZ111" t="s">
        <v>16</v>
      </c>
      <c r="BA111" t="s">
        <v>16</v>
      </c>
      <c r="BB111">
        <v>314</v>
      </c>
      <c r="BC111">
        <v>321</v>
      </c>
      <c r="BD111" t="s">
        <v>16</v>
      </c>
      <c r="BE111" t="s">
        <v>2160</v>
      </c>
      <c r="BF111" t="str">
        <f>HYPERLINK("http://dx.doi.org/10.1016/j.biombioe.2018.10.005","http://dx.doi.org/10.1016/j.biombioe.2018.10.005")</f>
        <v>http://dx.doi.org/10.1016/j.biombioe.2018.10.005</v>
      </c>
      <c r="BG111" t="s">
        <v>16</v>
      </c>
      <c r="BH111" t="s">
        <v>16</v>
      </c>
      <c r="BI111">
        <v>8</v>
      </c>
      <c r="BJ111" t="s">
        <v>296</v>
      </c>
      <c r="BK111" t="s">
        <v>73</v>
      </c>
      <c r="BL111" t="s">
        <v>2161</v>
      </c>
      <c r="BM111" t="s">
        <v>2162</v>
      </c>
      <c r="BN111" t="s">
        <v>16</v>
      </c>
      <c r="BO111" t="s">
        <v>16</v>
      </c>
      <c r="BP111" t="s">
        <v>16</v>
      </c>
      <c r="BQ111" t="s">
        <v>16</v>
      </c>
      <c r="BR111" t="s">
        <v>44</v>
      </c>
      <c r="BS111" t="s">
        <v>2163</v>
      </c>
      <c r="BT111" t="str">
        <f>HYPERLINK("https%3A%2F%2Fwww.webofscience.com%2Fwos%2Fwoscc%2Ffull-record%2FWOS:000449265800035","View Full Record in Web of Science")</f>
        <v>View Full Record in Web of Science</v>
      </c>
    </row>
    <row r="112" spans="1:72" x14ac:dyDescent="0.2">
      <c r="A112" t="s">
        <v>77</v>
      </c>
      <c r="B112" t="s">
        <v>2164</v>
      </c>
      <c r="C112" t="s">
        <v>16</v>
      </c>
      <c r="D112" t="s">
        <v>995</v>
      </c>
      <c r="E112" t="s">
        <v>16</v>
      </c>
      <c r="F112" t="s">
        <v>2165</v>
      </c>
      <c r="G112" t="s">
        <v>16</v>
      </c>
      <c r="H112" t="s">
        <v>16</v>
      </c>
      <c r="I112" t="s">
        <v>2166</v>
      </c>
      <c r="J112" t="s">
        <v>998</v>
      </c>
      <c r="K112" t="s">
        <v>16</v>
      </c>
      <c r="L112" t="s">
        <v>16</v>
      </c>
      <c r="M112" t="s">
        <v>22</v>
      </c>
      <c r="N112" t="s">
        <v>83</v>
      </c>
      <c r="O112" t="s">
        <v>16</v>
      </c>
      <c r="P112" t="s">
        <v>16</v>
      </c>
      <c r="Q112" t="s">
        <v>16</v>
      </c>
      <c r="R112" t="s">
        <v>16</v>
      </c>
      <c r="S112" t="s">
        <v>16</v>
      </c>
      <c r="T112" t="s">
        <v>2167</v>
      </c>
      <c r="U112" t="s">
        <v>2168</v>
      </c>
      <c r="V112" t="s">
        <v>2169</v>
      </c>
      <c r="W112" t="s">
        <v>2170</v>
      </c>
      <c r="X112" t="s">
        <v>1003</v>
      </c>
      <c r="Y112" t="s">
        <v>1004</v>
      </c>
      <c r="Z112" t="s">
        <v>2171</v>
      </c>
      <c r="AA112" t="s">
        <v>2172</v>
      </c>
      <c r="AB112" t="s">
        <v>1006</v>
      </c>
      <c r="AC112" t="s">
        <v>16</v>
      </c>
      <c r="AD112" t="s">
        <v>16</v>
      </c>
      <c r="AE112" t="s">
        <v>16</v>
      </c>
      <c r="AF112" t="s">
        <v>16</v>
      </c>
      <c r="AG112">
        <v>63</v>
      </c>
      <c r="AH112">
        <v>3</v>
      </c>
      <c r="AI112">
        <v>4</v>
      </c>
      <c r="AJ112">
        <v>0</v>
      </c>
      <c r="AK112">
        <v>1</v>
      </c>
      <c r="AL112" t="s">
        <v>1007</v>
      </c>
      <c r="AM112" t="s">
        <v>1008</v>
      </c>
      <c r="AN112" t="s">
        <v>1009</v>
      </c>
      <c r="AO112" t="s">
        <v>16</v>
      </c>
      <c r="AP112" t="s">
        <v>16</v>
      </c>
      <c r="AQ112" t="s">
        <v>1010</v>
      </c>
      <c r="AR112" t="s">
        <v>16</v>
      </c>
      <c r="AS112" t="s">
        <v>16</v>
      </c>
      <c r="AT112" t="s">
        <v>16</v>
      </c>
      <c r="AU112">
        <v>2010</v>
      </c>
      <c r="AV112" t="s">
        <v>16</v>
      </c>
      <c r="AW112" t="s">
        <v>16</v>
      </c>
      <c r="AX112" t="s">
        <v>16</v>
      </c>
      <c r="AY112" t="s">
        <v>16</v>
      </c>
      <c r="AZ112" t="s">
        <v>16</v>
      </c>
      <c r="BA112" t="s">
        <v>16</v>
      </c>
      <c r="BB112">
        <v>295</v>
      </c>
      <c r="BC112">
        <v>319</v>
      </c>
      <c r="BD112" t="s">
        <v>16</v>
      </c>
      <c r="BE112" t="s">
        <v>16</v>
      </c>
      <c r="BF112" t="s">
        <v>16</v>
      </c>
      <c r="BG112" t="s">
        <v>16</v>
      </c>
      <c r="BH112" t="s">
        <v>16</v>
      </c>
      <c r="BI112">
        <v>25</v>
      </c>
      <c r="BJ112" t="s">
        <v>214</v>
      </c>
      <c r="BK112" t="s">
        <v>93</v>
      </c>
      <c r="BL112" t="s">
        <v>214</v>
      </c>
      <c r="BM112" t="s">
        <v>1011</v>
      </c>
      <c r="BN112" t="s">
        <v>16</v>
      </c>
      <c r="BO112" t="s">
        <v>16</v>
      </c>
      <c r="BP112" t="s">
        <v>16</v>
      </c>
      <c r="BQ112" t="s">
        <v>16</v>
      </c>
      <c r="BR112" t="s">
        <v>44</v>
      </c>
      <c r="BS112" t="s">
        <v>2173</v>
      </c>
      <c r="BT112" t="str">
        <f>HYPERLINK("https%3A%2F%2Fwww.webofscience.com%2Fwos%2Fwoscc%2Ffull-record%2FWOS:000293772800011","View Full Record in Web of Science")</f>
        <v>View Full Record in Web of Science</v>
      </c>
    </row>
    <row r="113" spans="1:72" x14ac:dyDescent="0.2">
      <c r="A113" t="s">
        <v>46</v>
      </c>
      <c r="B113" t="s">
        <v>2174</v>
      </c>
      <c r="C113" t="s">
        <v>16</v>
      </c>
      <c r="D113" t="s">
        <v>16</v>
      </c>
      <c r="E113" t="s">
        <v>16</v>
      </c>
      <c r="F113" t="s">
        <v>2175</v>
      </c>
      <c r="G113" t="s">
        <v>16</v>
      </c>
      <c r="H113" t="s">
        <v>16</v>
      </c>
      <c r="I113" t="s">
        <v>2176</v>
      </c>
      <c r="J113" t="s">
        <v>368</v>
      </c>
      <c r="K113" t="s">
        <v>16</v>
      </c>
      <c r="L113" t="s">
        <v>16</v>
      </c>
      <c r="M113" t="s">
        <v>22</v>
      </c>
      <c r="N113" t="s">
        <v>51</v>
      </c>
      <c r="O113" t="s">
        <v>16</v>
      </c>
      <c r="P113" t="s">
        <v>16</v>
      </c>
      <c r="Q113" t="s">
        <v>16</v>
      </c>
      <c r="R113" t="s">
        <v>16</v>
      </c>
      <c r="S113" t="s">
        <v>16</v>
      </c>
      <c r="T113" t="s">
        <v>2177</v>
      </c>
      <c r="U113" t="s">
        <v>2178</v>
      </c>
      <c r="V113" t="s">
        <v>2179</v>
      </c>
      <c r="W113" t="s">
        <v>2180</v>
      </c>
      <c r="X113" t="s">
        <v>2181</v>
      </c>
      <c r="Y113" t="s">
        <v>2182</v>
      </c>
      <c r="Z113" t="s">
        <v>2183</v>
      </c>
      <c r="AA113" t="s">
        <v>2184</v>
      </c>
      <c r="AB113" t="s">
        <v>2185</v>
      </c>
      <c r="AC113" t="s">
        <v>2186</v>
      </c>
      <c r="AD113" t="s">
        <v>2187</v>
      </c>
      <c r="AE113" t="s">
        <v>2188</v>
      </c>
      <c r="AF113" t="s">
        <v>16</v>
      </c>
      <c r="AG113">
        <v>35</v>
      </c>
      <c r="AH113">
        <v>18</v>
      </c>
      <c r="AI113">
        <v>19</v>
      </c>
      <c r="AJ113">
        <v>1</v>
      </c>
      <c r="AK113">
        <v>17</v>
      </c>
      <c r="AL113" t="s">
        <v>462</v>
      </c>
      <c r="AM113" t="s">
        <v>376</v>
      </c>
      <c r="AN113" t="s">
        <v>463</v>
      </c>
      <c r="AO113" t="s">
        <v>378</v>
      </c>
      <c r="AP113" t="s">
        <v>16</v>
      </c>
      <c r="AQ113" t="s">
        <v>16</v>
      </c>
      <c r="AR113" t="s">
        <v>368</v>
      </c>
      <c r="AS113" t="s">
        <v>380</v>
      </c>
      <c r="AT113" t="s">
        <v>1164</v>
      </c>
      <c r="AU113">
        <v>2010</v>
      </c>
      <c r="AV113">
        <v>104</v>
      </c>
      <c r="AW113">
        <v>6</v>
      </c>
      <c r="AX113" t="s">
        <v>16</v>
      </c>
      <c r="AY113" t="s">
        <v>16</v>
      </c>
      <c r="AZ113" t="s">
        <v>16</v>
      </c>
      <c r="BA113" t="s">
        <v>16</v>
      </c>
      <c r="BB113">
        <v>552</v>
      </c>
      <c r="BC113">
        <v>562</v>
      </c>
      <c r="BD113" t="s">
        <v>16</v>
      </c>
      <c r="BE113" t="s">
        <v>2189</v>
      </c>
      <c r="BF113" t="str">
        <f>HYPERLINK("http://dx.doi.org/10.1038/hdy.2009.153","http://dx.doi.org/10.1038/hdy.2009.153")</f>
        <v>http://dx.doi.org/10.1038/hdy.2009.153</v>
      </c>
      <c r="BG113" t="s">
        <v>16</v>
      </c>
      <c r="BH113" t="s">
        <v>16</v>
      </c>
      <c r="BI113">
        <v>11</v>
      </c>
      <c r="BJ113" t="s">
        <v>296</v>
      </c>
      <c r="BK113" t="s">
        <v>73</v>
      </c>
      <c r="BL113" t="s">
        <v>383</v>
      </c>
      <c r="BM113" t="s">
        <v>2190</v>
      </c>
      <c r="BN113">
        <v>19904297</v>
      </c>
      <c r="BO113" t="s">
        <v>666</v>
      </c>
      <c r="BP113" t="s">
        <v>16</v>
      </c>
      <c r="BQ113" t="s">
        <v>16</v>
      </c>
      <c r="BR113" t="s">
        <v>44</v>
      </c>
      <c r="BS113" t="s">
        <v>2191</v>
      </c>
      <c r="BT113" t="str">
        <f>HYPERLINK("https%3A%2F%2Fwww.webofscience.com%2Fwos%2Fwoscc%2Ffull-record%2FWOS:000277828500005","View Full Record in Web of Science")</f>
        <v>View Full Record in Web of Science</v>
      </c>
    </row>
    <row r="114" spans="1:72" x14ac:dyDescent="0.2">
      <c r="A114" t="s">
        <v>46</v>
      </c>
      <c r="B114" t="s">
        <v>2192</v>
      </c>
      <c r="C114" t="s">
        <v>16</v>
      </c>
      <c r="D114" t="s">
        <v>16</v>
      </c>
      <c r="E114" t="s">
        <v>16</v>
      </c>
      <c r="F114" t="s">
        <v>2193</v>
      </c>
      <c r="G114" t="s">
        <v>16</v>
      </c>
      <c r="H114" t="s">
        <v>16</v>
      </c>
      <c r="I114" t="s">
        <v>2194</v>
      </c>
      <c r="J114" t="s">
        <v>2195</v>
      </c>
      <c r="K114" t="s">
        <v>16</v>
      </c>
      <c r="L114" t="s">
        <v>16</v>
      </c>
      <c r="M114" t="s">
        <v>22</v>
      </c>
      <c r="N114" t="s">
        <v>51</v>
      </c>
      <c r="O114" t="s">
        <v>16</v>
      </c>
      <c r="P114" t="s">
        <v>16</v>
      </c>
      <c r="Q114" t="s">
        <v>16</v>
      </c>
      <c r="R114" t="s">
        <v>16</v>
      </c>
      <c r="S114" t="s">
        <v>16</v>
      </c>
      <c r="T114" t="s">
        <v>16</v>
      </c>
      <c r="U114" t="s">
        <v>2196</v>
      </c>
      <c r="V114" t="s">
        <v>2197</v>
      </c>
      <c r="W114" t="s">
        <v>2198</v>
      </c>
      <c r="X114" t="s">
        <v>2199</v>
      </c>
      <c r="Y114" t="s">
        <v>2200</v>
      </c>
      <c r="Z114" t="s">
        <v>2201</v>
      </c>
      <c r="AA114" t="s">
        <v>2202</v>
      </c>
      <c r="AB114" t="s">
        <v>2203</v>
      </c>
      <c r="AC114" t="s">
        <v>2204</v>
      </c>
      <c r="AD114" t="s">
        <v>2205</v>
      </c>
      <c r="AE114" t="s">
        <v>2206</v>
      </c>
      <c r="AF114" t="s">
        <v>16</v>
      </c>
      <c r="AG114">
        <v>44</v>
      </c>
      <c r="AH114">
        <v>25</v>
      </c>
      <c r="AI114">
        <v>27</v>
      </c>
      <c r="AJ114">
        <v>1</v>
      </c>
      <c r="AK114">
        <v>10</v>
      </c>
      <c r="AL114" t="s">
        <v>2207</v>
      </c>
      <c r="AM114" t="s">
        <v>1069</v>
      </c>
      <c r="AN114" t="s">
        <v>2208</v>
      </c>
      <c r="AO114" t="s">
        <v>2209</v>
      </c>
      <c r="AP114" t="s">
        <v>2210</v>
      </c>
      <c r="AQ114" t="s">
        <v>16</v>
      </c>
      <c r="AR114" t="s">
        <v>2211</v>
      </c>
      <c r="AS114" t="s">
        <v>2212</v>
      </c>
      <c r="AT114" t="s">
        <v>576</v>
      </c>
      <c r="AU114">
        <v>2020</v>
      </c>
      <c r="AV114">
        <v>8</v>
      </c>
      <c r="AW114">
        <v>5</v>
      </c>
      <c r="AX114" t="s">
        <v>16</v>
      </c>
      <c r="AY114" t="s">
        <v>16</v>
      </c>
      <c r="AZ114" t="s">
        <v>16</v>
      </c>
      <c r="BA114" t="s">
        <v>16</v>
      </c>
      <c r="BB114">
        <v>866</v>
      </c>
      <c r="BC114">
        <v>877</v>
      </c>
      <c r="BD114" t="s">
        <v>16</v>
      </c>
      <c r="BE114" t="s">
        <v>2213</v>
      </c>
      <c r="BF114" t="str">
        <f>HYPERLINK("http://dx.doi.org/10.1016/j.cj.2020.04.002","http://dx.doi.org/10.1016/j.cj.2020.04.002")</f>
        <v>http://dx.doi.org/10.1016/j.cj.2020.04.002</v>
      </c>
      <c r="BG114" t="s">
        <v>16</v>
      </c>
      <c r="BH114" t="s">
        <v>16</v>
      </c>
      <c r="BI114">
        <v>12</v>
      </c>
      <c r="BJ114" t="s">
        <v>92</v>
      </c>
      <c r="BK114" t="s">
        <v>73</v>
      </c>
      <c r="BL114" t="s">
        <v>94</v>
      </c>
      <c r="BM114" t="s">
        <v>2214</v>
      </c>
      <c r="BN114" t="s">
        <v>16</v>
      </c>
      <c r="BO114" t="s">
        <v>552</v>
      </c>
      <c r="BP114" t="s">
        <v>16</v>
      </c>
      <c r="BQ114" t="s">
        <v>16</v>
      </c>
      <c r="BR114" t="s">
        <v>44</v>
      </c>
      <c r="BS114" t="s">
        <v>2215</v>
      </c>
      <c r="BT114" t="str">
        <f>HYPERLINK("https%3A%2F%2Fwww.webofscience.com%2Fwos%2Fwoscc%2Ffull-record%2FWOS:000576382800018","View Full Record in Web of Science")</f>
        <v>View Full Record in Web of Science</v>
      </c>
    </row>
    <row r="115" spans="1:72" x14ac:dyDescent="0.2">
      <c r="A115" t="s">
        <v>46</v>
      </c>
      <c r="B115" t="s">
        <v>2216</v>
      </c>
      <c r="C115" t="s">
        <v>16</v>
      </c>
      <c r="D115" t="s">
        <v>16</v>
      </c>
      <c r="E115" t="s">
        <v>16</v>
      </c>
      <c r="F115" t="s">
        <v>2217</v>
      </c>
      <c r="G115" t="s">
        <v>16</v>
      </c>
      <c r="H115" t="s">
        <v>16</v>
      </c>
      <c r="I115" t="s">
        <v>2218</v>
      </c>
      <c r="J115" t="s">
        <v>557</v>
      </c>
      <c r="K115" t="s">
        <v>16</v>
      </c>
      <c r="L115" t="s">
        <v>16</v>
      </c>
      <c r="M115" t="s">
        <v>22</v>
      </c>
      <c r="N115" t="s">
        <v>428</v>
      </c>
      <c r="O115" t="s">
        <v>2219</v>
      </c>
      <c r="P115">
        <v>2016</v>
      </c>
      <c r="Q115" t="s">
        <v>2220</v>
      </c>
      <c r="R115" t="s">
        <v>16</v>
      </c>
      <c r="S115" t="s">
        <v>16</v>
      </c>
      <c r="T115" t="s">
        <v>2221</v>
      </c>
      <c r="U115" t="s">
        <v>2222</v>
      </c>
      <c r="V115" t="s">
        <v>2223</v>
      </c>
      <c r="W115" t="s">
        <v>2224</v>
      </c>
      <c r="X115" t="s">
        <v>2225</v>
      </c>
      <c r="Y115" t="s">
        <v>2226</v>
      </c>
      <c r="Z115" t="s">
        <v>714</v>
      </c>
      <c r="AA115" t="s">
        <v>2227</v>
      </c>
      <c r="AB115" t="s">
        <v>2228</v>
      </c>
      <c r="AC115" t="s">
        <v>2229</v>
      </c>
      <c r="AD115" t="s">
        <v>2230</v>
      </c>
      <c r="AE115" t="s">
        <v>2231</v>
      </c>
      <c r="AF115" t="s">
        <v>16</v>
      </c>
      <c r="AG115">
        <v>110</v>
      </c>
      <c r="AH115">
        <v>65</v>
      </c>
      <c r="AI115">
        <v>70</v>
      </c>
      <c r="AJ115">
        <v>3</v>
      </c>
      <c r="AK115">
        <v>55</v>
      </c>
      <c r="AL115" t="s">
        <v>569</v>
      </c>
      <c r="AM115" t="s">
        <v>570</v>
      </c>
      <c r="AN115" t="s">
        <v>571</v>
      </c>
      <c r="AO115" t="s">
        <v>572</v>
      </c>
      <c r="AP115" t="s">
        <v>573</v>
      </c>
      <c r="AQ115" t="s">
        <v>16</v>
      </c>
      <c r="AR115" t="s">
        <v>574</v>
      </c>
      <c r="AS115" t="s">
        <v>575</v>
      </c>
      <c r="AT115" t="s">
        <v>576</v>
      </c>
      <c r="AU115">
        <v>2018</v>
      </c>
      <c r="AV115">
        <v>100</v>
      </c>
      <c r="AW115" t="s">
        <v>16</v>
      </c>
      <c r="AX115" t="s">
        <v>16</v>
      </c>
      <c r="AY115" t="s">
        <v>16</v>
      </c>
      <c r="AZ115" t="s">
        <v>188</v>
      </c>
      <c r="BA115" t="s">
        <v>16</v>
      </c>
      <c r="BB115">
        <v>118</v>
      </c>
      <c r="BC115">
        <v>131</v>
      </c>
      <c r="BD115" t="s">
        <v>16</v>
      </c>
      <c r="BE115" t="s">
        <v>2232</v>
      </c>
      <c r="BF115" t="str">
        <f>HYPERLINK("http://dx.doi.org/10.1016/j.eja.2017.12.007","http://dx.doi.org/10.1016/j.eja.2017.12.007")</f>
        <v>http://dx.doi.org/10.1016/j.eja.2017.12.007</v>
      </c>
      <c r="BG115" t="s">
        <v>16</v>
      </c>
      <c r="BH115" t="s">
        <v>16</v>
      </c>
      <c r="BI115">
        <v>14</v>
      </c>
      <c r="BJ115" t="s">
        <v>40</v>
      </c>
      <c r="BK115" t="s">
        <v>1827</v>
      </c>
      <c r="BL115" t="s">
        <v>42</v>
      </c>
      <c r="BM115" t="s">
        <v>2233</v>
      </c>
      <c r="BN115" t="s">
        <v>16</v>
      </c>
      <c r="BO115" t="s">
        <v>16</v>
      </c>
      <c r="BP115" t="s">
        <v>16</v>
      </c>
      <c r="BQ115" t="s">
        <v>16</v>
      </c>
      <c r="BR115" t="s">
        <v>44</v>
      </c>
      <c r="BS115" t="s">
        <v>2234</v>
      </c>
      <c r="BT115" t="str">
        <f>HYPERLINK("https%3A%2F%2Fwww.webofscience.com%2Fwos%2Fwoscc%2Ffull-record%2FWOS:000453490900012","View Full Record in Web of Science")</f>
        <v>View Full Record in Web of Science</v>
      </c>
    </row>
    <row r="116" spans="1:72" x14ac:dyDescent="0.2">
      <c r="A116" t="s">
        <v>46</v>
      </c>
      <c r="B116" t="s">
        <v>423</v>
      </c>
      <c r="C116" t="s">
        <v>16</v>
      </c>
      <c r="D116" t="s">
        <v>16</v>
      </c>
      <c r="E116" t="s">
        <v>16</v>
      </c>
      <c r="F116" t="s">
        <v>423</v>
      </c>
      <c r="G116" t="s">
        <v>16</v>
      </c>
      <c r="H116" t="s">
        <v>16</v>
      </c>
      <c r="I116" t="s">
        <v>2235</v>
      </c>
      <c r="J116" t="s">
        <v>2236</v>
      </c>
      <c r="K116" t="s">
        <v>16</v>
      </c>
      <c r="L116" t="s">
        <v>16</v>
      </c>
      <c r="M116" t="s">
        <v>22</v>
      </c>
      <c r="N116" t="s">
        <v>51</v>
      </c>
      <c r="O116" t="s">
        <v>16</v>
      </c>
      <c r="P116" t="s">
        <v>16</v>
      </c>
      <c r="Q116" t="s">
        <v>16</v>
      </c>
      <c r="R116" t="s">
        <v>16</v>
      </c>
      <c r="S116" t="s">
        <v>16</v>
      </c>
      <c r="T116" t="s">
        <v>16</v>
      </c>
      <c r="U116" t="s">
        <v>2237</v>
      </c>
      <c r="V116" t="s">
        <v>2238</v>
      </c>
      <c r="W116" t="s">
        <v>155</v>
      </c>
      <c r="X116" t="s">
        <v>156</v>
      </c>
      <c r="Y116" t="s">
        <v>2239</v>
      </c>
      <c r="Z116" t="s">
        <v>16</v>
      </c>
      <c r="AA116" t="s">
        <v>659</v>
      </c>
      <c r="AB116" t="s">
        <v>2240</v>
      </c>
      <c r="AC116" t="s">
        <v>16</v>
      </c>
      <c r="AD116" t="s">
        <v>16</v>
      </c>
      <c r="AE116" t="s">
        <v>16</v>
      </c>
      <c r="AF116" t="s">
        <v>16</v>
      </c>
      <c r="AG116">
        <v>35</v>
      </c>
      <c r="AH116">
        <v>133</v>
      </c>
      <c r="AI116">
        <v>149</v>
      </c>
      <c r="AJ116">
        <v>1</v>
      </c>
      <c r="AK116">
        <v>12</v>
      </c>
      <c r="AL116" t="s">
        <v>720</v>
      </c>
      <c r="AM116" t="s">
        <v>721</v>
      </c>
      <c r="AN116" t="s">
        <v>722</v>
      </c>
      <c r="AO116" t="s">
        <v>2241</v>
      </c>
      <c r="AP116" t="s">
        <v>16</v>
      </c>
      <c r="AQ116" t="s">
        <v>16</v>
      </c>
      <c r="AR116" t="s">
        <v>2236</v>
      </c>
      <c r="AS116" t="s">
        <v>2242</v>
      </c>
      <c r="AT116" t="s">
        <v>16</v>
      </c>
      <c r="AU116">
        <v>1998</v>
      </c>
      <c r="AV116">
        <v>14</v>
      </c>
      <c r="AW116">
        <v>7</v>
      </c>
      <c r="AX116" t="s">
        <v>16</v>
      </c>
      <c r="AY116" t="s">
        <v>16</v>
      </c>
      <c r="AZ116" t="s">
        <v>16</v>
      </c>
      <c r="BA116" t="s">
        <v>16</v>
      </c>
      <c r="BB116">
        <v>632</v>
      </c>
      <c r="BC116">
        <v>653</v>
      </c>
      <c r="BD116" t="s">
        <v>16</v>
      </c>
      <c r="BE116" t="s">
        <v>2243</v>
      </c>
      <c r="BF116" t="str">
        <f>HYPERLINK("http://dx.doi.org/10.1093/bioinformatics/14.7.632","http://dx.doi.org/10.1093/bioinformatics/14.7.632")</f>
        <v>http://dx.doi.org/10.1093/bioinformatics/14.7.632</v>
      </c>
      <c r="BG116" t="s">
        <v>16</v>
      </c>
      <c r="BH116" t="s">
        <v>16</v>
      </c>
      <c r="BI116">
        <v>22</v>
      </c>
      <c r="BJ116" t="s">
        <v>296</v>
      </c>
      <c r="BK116" t="s">
        <v>73</v>
      </c>
      <c r="BL116" t="s">
        <v>2244</v>
      </c>
      <c r="BM116" t="s">
        <v>2245</v>
      </c>
      <c r="BN116">
        <v>9730929</v>
      </c>
      <c r="BO116" t="s">
        <v>16</v>
      </c>
      <c r="BP116" t="s">
        <v>16</v>
      </c>
      <c r="BQ116" t="s">
        <v>16</v>
      </c>
      <c r="BR116" t="s">
        <v>44</v>
      </c>
      <c r="BS116" t="s">
        <v>2246</v>
      </c>
      <c r="BT116" t="str">
        <f>HYPERLINK("https%3A%2F%2Fwww.webofscience.com%2Fwos%2Fwoscc%2Ffull-record%2FWOS:000076226300011","View Full Record in Web of Science")</f>
        <v>View Full Record in Web of Science</v>
      </c>
    </row>
    <row r="117" spans="1:72" x14ac:dyDescent="0.2">
      <c r="A117" t="s">
        <v>46</v>
      </c>
      <c r="B117" t="s">
        <v>2247</v>
      </c>
      <c r="C117" t="s">
        <v>16</v>
      </c>
      <c r="D117" t="s">
        <v>16</v>
      </c>
      <c r="E117" t="s">
        <v>16</v>
      </c>
      <c r="F117" t="s">
        <v>2248</v>
      </c>
      <c r="G117" t="s">
        <v>16</v>
      </c>
      <c r="H117" t="s">
        <v>16</v>
      </c>
      <c r="I117" t="s">
        <v>2249</v>
      </c>
      <c r="J117" t="s">
        <v>117</v>
      </c>
      <c r="K117" t="s">
        <v>16</v>
      </c>
      <c r="L117" t="s">
        <v>16</v>
      </c>
      <c r="M117" t="s">
        <v>22</v>
      </c>
      <c r="N117" t="s">
        <v>51</v>
      </c>
      <c r="O117" t="s">
        <v>16</v>
      </c>
      <c r="P117" t="s">
        <v>16</v>
      </c>
      <c r="Q117" t="s">
        <v>16</v>
      </c>
      <c r="R117" t="s">
        <v>16</v>
      </c>
      <c r="S117" t="s">
        <v>16</v>
      </c>
      <c r="T117" t="s">
        <v>16</v>
      </c>
      <c r="U117" t="s">
        <v>2250</v>
      </c>
      <c r="V117" t="s">
        <v>2251</v>
      </c>
      <c r="W117" t="s">
        <v>2252</v>
      </c>
      <c r="X117" t="s">
        <v>103</v>
      </c>
      <c r="Y117" t="s">
        <v>2253</v>
      </c>
      <c r="Z117" t="s">
        <v>2254</v>
      </c>
      <c r="AA117" t="s">
        <v>2255</v>
      </c>
      <c r="AB117" t="s">
        <v>2256</v>
      </c>
      <c r="AC117" t="s">
        <v>2257</v>
      </c>
      <c r="AD117" t="s">
        <v>2257</v>
      </c>
      <c r="AE117" t="s">
        <v>2258</v>
      </c>
      <c r="AF117" t="s">
        <v>16</v>
      </c>
      <c r="AG117">
        <v>37</v>
      </c>
      <c r="AH117">
        <v>3</v>
      </c>
      <c r="AI117">
        <v>3</v>
      </c>
      <c r="AJ117">
        <v>0</v>
      </c>
      <c r="AK117">
        <v>9</v>
      </c>
      <c r="AL117" t="s">
        <v>128</v>
      </c>
      <c r="AM117" t="s">
        <v>129</v>
      </c>
      <c r="AN117" t="s">
        <v>130</v>
      </c>
      <c r="AO117" t="s">
        <v>131</v>
      </c>
      <c r="AP117" t="s">
        <v>132</v>
      </c>
      <c r="AQ117" t="s">
        <v>16</v>
      </c>
      <c r="AR117" t="s">
        <v>133</v>
      </c>
      <c r="AS117" t="s">
        <v>134</v>
      </c>
      <c r="AT117" t="s">
        <v>419</v>
      </c>
      <c r="AU117">
        <v>2022</v>
      </c>
      <c r="AV117">
        <v>135</v>
      </c>
      <c r="AW117">
        <v>8</v>
      </c>
      <c r="AX117" t="s">
        <v>16</v>
      </c>
      <c r="AY117" t="s">
        <v>16</v>
      </c>
      <c r="AZ117" t="s">
        <v>16</v>
      </c>
      <c r="BA117" t="s">
        <v>16</v>
      </c>
      <c r="BB117">
        <v>2891</v>
      </c>
      <c r="BC117">
        <v>2905</v>
      </c>
      <c r="BD117" t="s">
        <v>16</v>
      </c>
      <c r="BE117" t="s">
        <v>2259</v>
      </c>
      <c r="BF117" t="str">
        <f>HYPERLINK("http://dx.doi.org/10.1007/s00122-022-04157-1","http://dx.doi.org/10.1007/s00122-022-04157-1")</f>
        <v>http://dx.doi.org/10.1007/s00122-022-04157-1</v>
      </c>
      <c r="BG117" t="s">
        <v>16</v>
      </c>
      <c r="BH117" t="s">
        <v>2260</v>
      </c>
      <c r="BI117">
        <v>15</v>
      </c>
      <c r="BJ117" t="s">
        <v>296</v>
      </c>
      <c r="BK117" t="s">
        <v>73</v>
      </c>
      <c r="BL117" t="s">
        <v>137</v>
      </c>
      <c r="BM117" t="s">
        <v>2261</v>
      </c>
      <c r="BN117">
        <v>35831462</v>
      </c>
      <c r="BO117" t="s">
        <v>900</v>
      </c>
      <c r="BP117" t="s">
        <v>16</v>
      </c>
      <c r="BQ117" t="s">
        <v>16</v>
      </c>
      <c r="BR117" t="s">
        <v>44</v>
      </c>
      <c r="BS117" t="s">
        <v>2262</v>
      </c>
      <c r="BT117" t="str">
        <f>HYPERLINK("https%3A%2F%2Fwww.webofscience.com%2Fwos%2Fwoscc%2Ffull-record%2FWOS:000824280000001","View Full Record in Web of Science")</f>
        <v>View Full Record in Web of Science</v>
      </c>
    </row>
    <row r="118" spans="1:72" x14ac:dyDescent="0.2">
      <c r="A118" t="s">
        <v>46</v>
      </c>
      <c r="B118" t="s">
        <v>2263</v>
      </c>
      <c r="C118" t="s">
        <v>16</v>
      </c>
      <c r="D118" t="s">
        <v>16</v>
      </c>
      <c r="E118" t="s">
        <v>16</v>
      </c>
      <c r="F118" t="s">
        <v>2264</v>
      </c>
      <c r="G118" t="s">
        <v>16</v>
      </c>
      <c r="H118" t="s">
        <v>16</v>
      </c>
      <c r="I118" t="s">
        <v>2265</v>
      </c>
      <c r="J118" t="s">
        <v>326</v>
      </c>
      <c r="K118" t="s">
        <v>16</v>
      </c>
      <c r="L118" t="s">
        <v>16</v>
      </c>
      <c r="M118" t="s">
        <v>22</v>
      </c>
      <c r="N118" t="s">
        <v>51</v>
      </c>
      <c r="O118" t="s">
        <v>16</v>
      </c>
      <c r="P118" t="s">
        <v>16</v>
      </c>
      <c r="Q118" t="s">
        <v>16</v>
      </c>
      <c r="R118" t="s">
        <v>16</v>
      </c>
      <c r="S118" t="s">
        <v>16</v>
      </c>
      <c r="T118" t="s">
        <v>16</v>
      </c>
      <c r="U118" t="s">
        <v>2266</v>
      </c>
      <c r="V118" t="s">
        <v>2267</v>
      </c>
      <c r="W118" t="s">
        <v>2268</v>
      </c>
      <c r="X118" t="s">
        <v>2269</v>
      </c>
      <c r="Y118" t="s">
        <v>2270</v>
      </c>
      <c r="Z118" t="s">
        <v>2271</v>
      </c>
      <c r="AA118" t="s">
        <v>2272</v>
      </c>
      <c r="AB118" t="s">
        <v>16</v>
      </c>
      <c r="AC118" t="s">
        <v>2273</v>
      </c>
      <c r="AD118" t="s">
        <v>2274</v>
      </c>
      <c r="AE118" t="s">
        <v>2275</v>
      </c>
      <c r="AF118" t="s">
        <v>16</v>
      </c>
      <c r="AG118">
        <v>37</v>
      </c>
      <c r="AH118">
        <v>332</v>
      </c>
      <c r="AI118">
        <v>399</v>
      </c>
      <c r="AJ118">
        <v>2</v>
      </c>
      <c r="AK118">
        <v>44</v>
      </c>
      <c r="AL118" t="s">
        <v>332</v>
      </c>
      <c r="AM118" t="s">
        <v>333</v>
      </c>
      <c r="AN118" t="s">
        <v>334</v>
      </c>
      <c r="AO118" t="s">
        <v>335</v>
      </c>
      <c r="AP118" t="s">
        <v>336</v>
      </c>
      <c r="AQ118" t="s">
        <v>16</v>
      </c>
      <c r="AR118" t="s">
        <v>326</v>
      </c>
      <c r="AS118" t="s">
        <v>337</v>
      </c>
      <c r="AT118" t="s">
        <v>812</v>
      </c>
      <c r="AU118">
        <v>2009</v>
      </c>
      <c r="AV118">
        <v>183</v>
      </c>
      <c r="AW118">
        <v>1</v>
      </c>
      <c r="AX118" t="s">
        <v>16</v>
      </c>
      <c r="AY118" t="s">
        <v>16</v>
      </c>
      <c r="AZ118" t="s">
        <v>16</v>
      </c>
      <c r="BA118" t="s">
        <v>16</v>
      </c>
      <c r="BB118">
        <v>347</v>
      </c>
      <c r="BC118">
        <v>363</v>
      </c>
      <c r="BD118" t="s">
        <v>16</v>
      </c>
      <c r="BE118" t="s">
        <v>2276</v>
      </c>
      <c r="BF118" t="str">
        <f>HYPERLINK("http://dx.doi.org/10.1534/genetics.109.103952","http://dx.doi.org/10.1534/genetics.109.103952")</f>
        <v>http://dx.doi.org/10.1534/genetics.109.103952</v>
      </c>
      <c r="BG118" t="s">
        <v>16</v>
      </c>
      <c r="BH118" t="s">
        <v>16</v>
      </c>
      <c r="BI118">
        <v>17</v>
      </c>
      <c r="BJ118" t="s">
        <v>339</v>
      </c>
      <c r="BK118" t="s">
        <v>73</v>
      </c>
      <c r="BL118" t="s">
        <v>339</v>
      </c>
      <c r="BM118" t="s">
        <v>2277</v>
      </c>
      <c r="BN118">
        <v>19620397</v>
      </c>
      <c r="BO118" t="s">
        <v>2278</v>
      </c>
      <c r="BP118" t="s">
        <v>16</v>
      </c>
      <c r="BQ118" t="s">
        <v>16</v>
      </c>
      <c r="BR118" t="s">
        <v>44</v>
      </c>
      <c r="BS118" t="s">
        <v>2279</v>
      </c>
      <c r="BT118" t="str">
        <f>HYPERLINK("https%3A%2F%2Fwww.webofscience.com%2Fwos%2Fwoscc%2Ffull-record%2FWOS:000272067000031","View Full Record in Web of Science")</f>
        <v>View Full Record in Web of Science</v>
      </c>
    </row>
    <row r="119" spans="1:72" x14ac:dyDescent="0.2">
      <c r="A119" t="s">
        <v>46</v>
      </c>
      <c r="B119" t="s">
        <v>2280</v>
      </c>
      <c r="C119" t="s">
        <v>16</v>
      </c>
      <c r="D119" t="s">
        <v>16</v>
      </c>
      <c r="E119" t="s">
        <v>16</v>
      </c>
      <c r="F119" t="s">
        <v>2280</v>
      </c>
      <c r="G119" t="s">
        <v>16</v>
      </c>
      <c r="H119" t="s">
        <v>16</v>
      </c>
      <c r="I119" t="s">
        <v>2281</v>
      </c>
      <c r="J119" t="s">
        <v>117</v>
      </c>
      <c r="K119" t="s">
        <v>16</v>
      </c>
      <c r="L119" t="s">
        <v>16</v>
      </c>
      <c r="M119" t="s">
        <v>22</v>
      </c>
      <c r="N119" t="s">
        <v>51</v>
      </c>
      <c r="O119" t="s">
        <v>16</v>
      </c>
      <c r="P119" t="s">
        <v>16</v>
      </c>
      <c r="Q119" t="s">
        <v>16</v>
      </c>
      <c r="R119" t="s">
        <v>16</v>
      </c>
      <c r="S119" t="s">
        <v>16</v>
      </c>
      <c r="T119" t="s">
        <v>2282</v>
      </c>
      <c r="U119" t="s">
        <v>2283</v>
      </c>
      <c r="V119" t="s">
        <v>2284</v>
      </c>
      <c r="W119" t="s">
        <v>2285</v>
      </c>
      <c r="X119" t="s">
        <v>2286</v>
      </c>
      <c r="Y119" t="s">
        <v>2287</v>
      </c>
      <c r="Z119" t="s">
        <v>16</v>
      </c>
      <c r="AA119" t="s">
        <v>2288</v>
      </c>
      <c r="AB119" t="s">
        <v>2289</v>
      </c>
      <c r="AC119" t="s">
        <v>16</v>
      </c>
      <c r="AD119" t="s">
        <v>16</v>
      </c>
      <c r="AE119" t="s">
        <v>16</v>
      </c>
      <c r="AF119" t="s">
        <v>16</v>
      </c>
      <c r="AG119">
        <v>30</v>
      </c>
      <c r="AH119">
        <v>34</v>
      </c>
      <c r="AI119">
        <v>35</v>
      </c>
      <c r="AJ119">
        <v>0</v>
      </c>
      <c r="AK119">
        <v>8</v>
      </c>
      <c r="AL119" t="s">
        <v>1742</v>
      </c>
      <c r="AM119" t="s">
        <v>129</v>
      </c>
      <c r="AN119" t="s">
        <v>2290</v>
      </c>
      <c r="AO119" t="s">
        <v>131</v>
      </c>
      <c r="AP119" t="s">
        <v>16</v>
      </c>
      <c r="AQ119" t="s">
        <v>16</v>
      </c>
      <c r="AR119" t="s">
        <v>133</v>
      </c>
      <c r="AS119" t="s">
        <v>134</v>
      </c>
      <c r="AT119" t="s">
        <v>1533</v>
      </c>
      <c r="AU119">
        <v>1999</v>
      </c>
      <c r="AV119">
        <v>98</v>
      </c>
      <c r="AW119">
        <v>2</v>
      </c>
      <c r="AX119" t="s">
        <v>16</v>
      </c>
      <c r="AY119" t="s">
        <v>16</v>
      </c>
      <c r="AZ119" t="s">
        <v>16</v>
      </c>
      <c r="BA119" t="s">
        <v>16</v>
      </c>
      <c r="BB119">
        <v>234</v>
      </c>
      <c r="BC119">
        <v>242</v>
      </c>
      <c r="BD119" t="s">
        <v>16</v>
      </c>
      <c r="BE119" t="s">
        <v>2291</v>
      </c>
      <c r="BF119" t="str">
        <f>HYPERLINK("http://dx.doi.org/10.1007/s001220051063","http://dx.doi.org/10.1007/s001220051063")</f>
        <v>http://dx.doi.org/10.1007/s001220051063</v>
      </c>
      <c r="BG119" t="s">
        <v>16</v>
      </c>
      <c r="BH119" t="s">
        <v>16</v>
      </c>
      <c r="BI119">
        <v>9</v>
      </c>
      <c r="BJ119" t="s">
        <v>296</v>
      </c>
      <c r="BK119" t="s">
        <v>73</v>
      </c>
      <c r="BL119" t="s">
        <v>137</v>
      </c>
      <c r="BM119" t="s">
        <v>2292</v>
      </c>
      <c r="BN119" t="s">
        <v>16</v>
      </c>
      <c r="BO119" t="s">
        <v>16</v>
      </c>
      <c r="BP119" t="s">
        <v>16</v>
      </c>
      <c r="BQ119" t="s">
        <v>16</v>
      </c>
      <c r="BR119" t="s">
        <v>44</v>
      </c>
      <c r="BS119" t="s">
        <v>2293</v>
      </c>
      <c r="BT119" t="str">
        <f>HYPERLINK("https%3A%2F%2Fwww.webofscience.com%2Fwos%2Fwoscc%2Ffull-record%2FWOS:000078858400008","View Full Record in Web of Science")</f>
        <v>View Full Record in Web of Science</v>
      </c>
    </row>
    <row r="120" spans="1:72" x14ac:dyDescent="0.2">
      <c r="A120" t="s">
        <v>46</v>
      </c>
      <c r="B120" t="s">
        <v>2294</v>
      </c>
      <c r="C120" t="s">
        <v>16</v>
      </c>
      <c r="D120" t="s">
        <v>16</v>
      </c>
      <c r="E120" t="s">
        <v>16</v>
      </c>
      <c r="F120" t="s">
        <v>2295</v>
      </c>
      <c r="G120" t="s">
        <v>16</v>
      </c>
      <c r="H120" t="s">
        <v>16</v>
      </c>
      <c r="I120" t="s">
        <v>2296</v>
      </c>
      <c r="J120" t="s">
        <v>651</v>
      </c>
      <c r="K120" t="s">
        <v>16</v>
      </c>
      <c r="L120" t="s">
        <v>16</v>
      </c>
      <c r="M120" t="s">
        <v>22</v>
      </c>
      <c r="N120" t="s">
        <v>51</v>
      </c>
      <c r="O120" t="s">
        <v>16</v>
      </c>
      <c r="P120" t="s">
        <v>16</v>
      </c>
      <c r="Q120" t="s">
        <v>16</v>
      </c>
      <c r="R120" t="s">
        <v>16</v>
      </c>
      <c r="S120" t="s">
        <v>16</v>
      </c>
      <c r="T120" t="s">
        <v>16</v>
      </c>
      <c r="U120" t="s">
        <v>2297</v>
      </c>
      <c r="V120" t="s">
        <v>2298</v>
      </c>
      <c r="W120" t="s">
        <v>2299</v>
      </c>
      <c r="X120" t="s">
        <v>16</v>
      </c>
      <c r="Y120" t="s">
        <v>2300</v>
      </c>
      <c r="Z120" t="s">
        <v>2301</v>
      </c>
      <c r="AA120" t="s">
        <v>16</v>
      </c>
      <c r="AB120" t="s">
        <v>16</v>
      </c>
      <c r="AC120" t="s">
        <v>2302</v>
      </c>
      <c r="AD120" t="s">
        <v>2303</v>
      </c>
      <c r="AE120" t="s">
        <v>2304</v>
      </c>
      <c r="AF120" t="s">
        <v>16</v>
      </c>
      <c r="AG120">
        <v>44</v>
      </c>
      <c r="AH120">
        <v>1</v>
      </c>
      <c r="AI120">
        <v>1</v>
      </c>
      <c r="AJ120">
        <v>1</v>
      </c>
      <c r="AK120">
        <v>15</v>
      </c>
      <c r="AL120" t="s">
        <v>638</v>
      </c>
      <c r="AM120" t="s">
        <v>639</v>
      </c>
      <c r="AN120" t="s">
        <v>640</v>
      </c>
      <c r="AO120" t="s">
        <v>661</v>
      </c>
      <c r="AP120" t="s">
        <v>642</v>
      </c>
      <c r="AQ120" t="s">
        <v>16</v>
      </c>
      <c r="AR120" t="s">
        <v>662</v>
      </c>
      <c r="AS120" t="s">
        <v>663</v>
      </c>
      <c r="AT120" t="s">
        <v>16</v>
      </c>
      <c r="AU120">
        <v>2010</v>
      </c>
      <c r="AV120">
        <v>61</v>
      </c>
      <c r="AW120">
        <v>7</v>
      </c>
      <c r="AX120" t="s">
        <v>16</v>
      </c>
      <c r="AY120" t="s">
        <v>16</v>
      </c>
      <c r="AZ120" t="s">
        <v>16</v>
      </c>
      <c r="BA120" t="s">
        <v>16</v>
      </c>
      <c r="BB120">
        <v>522</v>
      </c>
      <c r="BC120">
        <v>539</v>
      </c>
      <c r="BD120" t="s">
        <v>16</v>
      </c>
      <c r="BE120" t="s">
        <v>2305</v>
      </c>
      <c r="BF120" t="str">
        <f>HYPERLINK("http://dx.doi.org/10.1071/CP09203","http://dx.doi.org/10.1071/CP09203")</f>
        <v>http://dx.doi.org/10.1071/CP09203</v>
      </c>
      <c r="BG120" t="s">
        <v>16</v>
      </c>
      <c r="BH120" t="s">
        <v>16</v>
      </c>
      <c r="BI120">
        <v>18</v>
      </c>
      <c r="BJ120" t="s">
        <v>296</v>
      </c>
      <c r="BK120" t="s">
        <v>73</v>
      </c>
      <c r="BL120" t="s">
        <v>42</v>
      </c>
      <c r="BM120" t="s">
        <v>2306</v>
      </c>
      <c r="BN120" t="s">
        <v>16</v>
      </c>
      <c r="BO120" t="s">
        <v>2307</v>
      </c>
      <c r="BP120" t="s">
        <v>16</v>
      </c>
      <c r="BQ120" t="s">
        <v>16</v>
      </c>
      <c r="BR120" t="s">
        <v>44</v>
      </c>
      <c r="BS120" t="s">
        <v>2308</v>
      </c>
      <c r="BT120" t="str">
        <f>HYPERLINK("https%3A%2F%2Fwww.webofscience.com%2Fwos%2Fwoscc%2Ffull-record%2FWOS:000279493700002","View Full Record in Web of Science")</f>
        <v>View Full Record in Web of Science</v>
      </c>
    </row>
    <row r="121" spans="1:72" x14ac:dyDescent="0.2">
      <c r="A121" t="s">
        <v>46</v>
      </c>
      <c r="B121" t="s">
        <v>2309</v>
      </c>
      <c r="C121" t="s">
        <v>16</v>
      </c>
      <c r="D121" t="s">
        <v>16</v>
      </c>
      <c r="E121" t="s">
        <v>16</v>
      </c>
      <c r="F121" t="s">
        <v>2310</v>
      </c>
      <c r="G121" t="s">
        <v>16</v>
      </c>
      <c r="H121" t="s">
        <v>16</v>
      </c>
      <c r="I121" t="s">
        <v>2311</v>
      </c>
      <c r="J121" t="s">
        <v>2312</v>
      </c>
      <c r="K121" t="s">
        <v>16</v>
      </c>
      <c r="L121" t="s">
        <v>16</v>
      </c>
      <c r="M121" t="s">
        <v>22</v>
      </c>
      <c r="N121" t="s">
        <v>51</v>
      </c>
      <c r="O121" t="s">
        <v>16</v>
      </c>
      <c r="P121" t="s">
        <v>16</v>
      </c>
      <c r="Q121" t="s">
        <v>16</v>
      </c>
      <c r="R121" t="s">
        <v>16</v>
      </c>
      <c r="S121" t="s">
        <v>16</v>
      </c>
      <c r="T121" t="s">
        <v>2313</v>
      </c>
      <c r="U121" t="s">
        <v>2314</v>
      </c>
      <c r="V121" t="s">
        <v>2315</v>
      </c>
      <c r="W121" t="s">
        <v>2316</v>
      </c>
      <c r="X121" t="s">
        <v>16</v>
      </c>
      <c r="Y121" t="s">
        <v>2317</v>
      </c>
      <c r="Z121" t="s">
        <v>2318</v>
      </c>
      <c r="AA121" t="s">
        <v>2319</v>
      </c>
      <c r="AB121" t="s">
        <v>2320</v>
      </c>
      <c r="AC121" t="s">
        <v>16</v>
      </c>
      <c r="AD121" t="s">
        <v>16</v>
      </c>
      <c r="AE121" t="s">
        <v>16</v>
      </c>
      <c r="AF121" t="s">
        <v>16</v>
      </c>
      <c r="AG121">
        <v>50</v>
      </c>
      <c r="AH121">
        <v>1</v>
      </c>
      <c r="AI121">
        <v>1</v>
      </c>
      <c r="AJ121">
        <v>5</v>
      </c>
      <c r="AK121">
        <v>20</v>
      </c>
      <c r="AL121" t="s">
        <v>808</v>
      </c>
      <c r="AM121" t="s">
        <v>161</v>
      </c>
      <c r="AN121" t="s">
        <v>809</v>
      </c>
      <c r="AO121" t="s">
        <v>16</v>
      </c>
      <c r="AP121" t="s">
        <v>2321</v>
      </c>
      <c r="AQ121" t="s">
        <v>16</v>
      </c>
      <c r="AR121" t="s">
        <v>2312</v>
      </c>
      <c r="AS121" t="s">
        <v>2322</v>
      </c>
      <c r="AT121" t="s">
        <v>135</v>
      </c>
      <c r="AU121">
        <v>2022</v>
      </c>
      <c r="AV121">
        <v>12</v>
      </c>
      <c r="AW121">
        <v>11</v>
      </c>
      <c r="AX121" t="s">
        <v>16</v>
      </c>
      <c r="AY121" t="s">
        <v>16</v>
      </c>
      <c r="AZ121" t="s">
        <v>16</v>
      </c>
      <c r="BA121" t="s">
        <v>16</v>
      </c>
      <c r="BB121" t="s">
        <v>16</v>
      </c>
      <c r="BC121" t="s">
        <v>16</v>
      </c>
      <c r="BD121">
        <v>1633</v>
      </c>
      <c r="BE121" t="s">
        <v>2323</v>
      </c>
      <c r="BF121" t="str">
        <f>HYPERLINK("http://dx.doi.org/10.3390/biom12111633","http://dx.doi.org/10.3390/biom12111633")</f>
        <v>http://dx.doi.org/10.3390/biom12111633</v>
      </c>
      <c r="BG121" t="s">
        <v>16</v>
      </c>
      <c r="BH121" t="s">
        <v>16</v>
      </c>
      <c r="BI121">
        <v>22</v>
      </c>
      <c r="BJ121" t="s">
        <v>2324</v>
      </c>
      <c r="BK121" t="s">
        <v>73</v>
      </c>
      <c r="BL121" t="s">
        <v>2324</v>
      </c>
      <c r="BM121" t="s">
        <v>2325</v>
      </c>
      <c r="BN121">
        <v>36358982</v>
      </c>
      <c r="BO121" t="s">
        <v>511</v>
      </c>
      <c r="BP121" t="s">
        <v>16</v>
      </c>
      <c r="BQ121" t="s">
        <v>16</v>
      </c>
      <c r="BR121" t="s">
        <v>44</v>
      </c>
      <c r="BS121" t="s">
        <v>2326</v>
      </c>
      <c r="BT121" t="str">
        <f>HYPERLINK("https%3A%2F%2Fwww.webofscience.com%2Fwos%2Fwoscc%2Ffull-record%2FWOS:000894893600001","View Full Record in Web of Science")</f>
        <v>View Full Record in Web of Science</v>
      </c>
    </row>
    <row r="122" spans="1:72" x14ac:dyDescent="0.2">
      <c r="A122" t="s">
        <v>46</v>
      </c>
      <c r="B122" t="s">
        <v>2327</v>
      </c>
      <c r="C122" t="s">
        <v>16</v>
      </c>
      <c r="D122" t="s">
        <v>16</v>
      </c>
      <c r="E122" t="s">
        <v>16</v>
      </c>
      <c r="F122" t="s">
        <v>2328</v>
      </c>
      <c r="G122" t="s">
        <v>16</v>
      </c>
      <c r="H122" t="s">
        <v>16</v>
      </c>
      <c r="I122" t="s">
        <v>2329</v>
      </c>
      <c r="J122" t="s">
        <v>2330</v>
      </c>
      <c r="K122" t="s">
        <v>16</v>
      </c>
      <c r="L122" t="s">
        <v>16</v>
      </c>
      <c r="M122" t="s">
        <v>22</v>
      </c>
      <c r="N122" t="s">
        <v>51</v>
      </c>
      <c r="O122" t="s">
        <v>16</v>
      </c>
      <c r="P122" t="s">
        <v>16</v>
      </c>
      <c r="Q122" t="s">
        <v>16</v>
      </c>
      <c r="R122" t="s">
        <v>16</v>
      </c>
      <c r="S122" t="s">
        <v>16</v>
      </c>
      <c r="T122" t="s">
        <v>2331</v>
      </c>
      <c r="U122" t="s">
        <v>2332</v>
      </c>
      <c r="V122" t="s">
        <v>2333</v>
      </c>
      <c r="W122" t="s">
        <v>2334</v>
      </c>
      <c r="X122" t="s">
        <v>2335</v>
      </c>
      <c r="Y122" t="s">
        <v>2336</v>
      </c>
      <c r="Z122" t="s">
        <v>2337</v>
      </c>
      <c r="AA122" t="s">
        <v>16</v>
      </c>
      <c r="AB122" t="s">
        <v>16</v>
      </c>
      <c r="AC122" t="s">
        <v>2338</v>
      </c>
      <c r="AD122" t="s">
        <v>2339</v>
      </c>
      <c r="AE122" t="s">
        <v>2340</v>
      </c>
      <c r="AF122" t="s">
        <v>16</v>
      </c>
      <c r="AG122">
        <v>38</v>
      </c>
      <c r="AH122">
        <v>4</v>
      </c>
      <c r="AI122">
        <v>4</v>
      </c>
      <c r="AJ122">
        <v>0</v>
      </c>
      <c r="AK122">
        <v>7</v>
      </c>
      <c r="AL122" t="s">
        <v>2341</v>
      </c>
      <c r="AM122" t="s">
        <v>2342</v>
      </c>
      <c r="AN122" t="s">
        <v>2343</v>
      </c>
      <c r="AO122" t="s">
        <v>2344</v>
      </c>
      <c r="AP122" t="s">
        <v>2345</v>
      </c>
      <c r="AQ122" t="s">
        <v>16</v>
      </c>
      <c r="AR122" t="s">
        <v>2346</v>
      </c>
      <c r="AS122" t="s">
        <v>2347</v>
      </c>
      <c r="AT122" t="s">
        <v>16</v>
      </c>
      <c r="AU122">
        <v>2020</v>
      </c>
      <c r="AV122">
        <v>70</v>
      </c>
      <c r="AW122">
        <v>5</v>
      </c>
      <c r="AX122" t="s">
        <v>16</v>
      </c>
      <c r="AY122" t="s">
        <v>16</v>
      </c>
      <c r="AZ122" t="s">
        <v>16</v>
      </c>
      <c r="BA122" t="s">
        <v>16</v>
      </c>
      <c r="BB122">
        <v>594</v>
      </c>
      <c r="BC122">
        <v>604</v>
      </c>
      <c r="BD122" t="s">
        <v>16</v>
      </c>
      <c r="BE122" t="s">
        <v>2348</v>
      </c>
      <c r="BF122" t="str">
        <f>HYPERLINK("http://dx.doi.org/10.1270/jsbbs.20047","http://dx.doi.org/10.1270/jsbbs.20047")</f>
        <v>http://dx.doi.org/10.1270/jsbbs.20047</v>
      </c>
      <c r="BG122" t="s">
        <v>16</v>
      </c>
      <c r="BH122" t="s">
        <v>16</v>
      </c>
      <c r="BI122">
        <v>11</v>
      </c>
      <c r="BJ122" t="s">
        <v>92</v>
      </c>
      <c r="BK122" t="s">
        <v>73</v>
      </c>
      <c r="BL122" t="s">
        <v>94</v>
      </c>
      <c r="BM122" t="s">
        <v>2349</v>
      </c>
      <c r="BN122">
        <v>33603556</v>
      </c>
      <c r="BO122" t="s">
        <v>216</v>
      </c>
      <c r="BP122" t="s">
        <v>16</v>
      </c>
      <c r="BQ122" t="s">
        <v>16</v>
      </c>
      <c r="BR122" t="s">
        <v>44</v>
      </c>
      <c r="BS122" t="s">
        <v>2350</v>
      </c>
      <c r="BT122" t="str">
        <f>HYPERLINK("https%3A%2F%2Fwww.webofscience.com%2Fwos%2Fwoscc%2Ffull-record%2FWOS:000604260700011","View Full Record in Web of Science")</f>
        <v>View Full Record in Web of Science</v>
      </c>
    </row>
    <row r="123" spans="1:72" x14ac:dyDescent="0.2">
      <c r="A123" t="s">
        <v>46</v>
      </c>
      <c r="B123" t="s">
        <v>685</v>
      </c>
      <c r="C123" t="s">
        <v>16</v>
      </c>
      <c r="D123" t="s">
        <v>16</v>
      </c>
      <c r="E123" t="s">
        <v>16</v>
      </c>
      <c r="F123" t="s">
        <v>686</v>
      </c>
      <c r="G123" t="s">
        <v>16</v>
      </c>
      <c r="H123" t="s">
        <v>16</v>
      </c>
      <c r="I123" t="s">
        <v>2351</v>
      </c>
      <c r="J123" t="s">
        <v>734</v>
      </c>
      <c r="K123" t="s">
        <v>16</v>
      </c>
      <c r="L123" t="s">
        <v>16</v>
      </c>
      <c r="M123" t="s">
        <v>22</v>
      </c>
      <c r="N123" t="s">
        <v>51</v>
      </c>
      <c r="O123" t="s">
        <v>16</v>
      </c>
      <c r="P123" t="s">
        <v>16</v>
      </c>
      <c r="Q123" t="s">
        <v>16</v>
      </c>
      <c r="R123" t="s">
        <v>16</v>
      </c>
      <c r="S123" t="s">
        <v>16</v>
      </c>
      <c r="T123" t="s">
        <v>2352</v>
      </c>
      <c r="U123" t="s">
        <v>2353</v>
      </c>
      <c r="V123" t="s">
        <v>2354</v>
      </c>
      <c r="W123" t="s">
        <v>2355</v>
      </c>
      <c r="X123" t="s">
        <v>2356</v>
      </c>
      <c r="Y123" t="s">
        <v>2357</v>
      </c>
      <c r="Z123" t="s">
        <v>2358</v>
      </c>
      <c r="AA123" t="s">
        <v>2359</v>
      </c>
      <c r="AB123" t="s">
        <v>696</v>
      </c>
      <c r="AC123" t="s">
        <v>16</v>
      </c>
      <c r="AD123" t="s">
        <v>16</v>
      </c>
      <c r="AE123" t="s">
        <v>16</v>
      </c>
      <c r="AF123" t="s">
        <v>16</v>
      </c>
      <c r="AG123">
        <v>37</v>
      </c>
      <c r="AH123">
        <v>16</v>
      </c>
      <c r="AI123">
        <v>20</v>
      </c>
      <c r="AJ123">
        <v>1</v>
      </c>
      <c r="AK123">
        <v>12</v>
      </c>
      <c r="AL123" t="s">
        <v>332</v>
      </c>
      <c r="AM123" t="s">
        <v>333</v>
      </c>
      <c r="AN123" t="s">
        <v>334</v>
      </c>
      <c r="AO123" t="s">
        <v>748</v>
      </c>
      <c r="AP123" t="s">
        <v>16</v>
      </c>
      <c r="AQ123" t="s">
        <v>16</v>
      </c>
      <c r="AR123" t="s">
        <v>749</v>
      </c>
      <c r="AS123" t="s">
        <v>750</v>
      </c>
      <c r="AT123" t="s">
        <v>419</v>
      </c>
      <c r="AU123">
        <v>2020</v>
      </c>
      <c r="AV123">
        <v>10</v>
      </c>
      <c r="AW123">
        <v>8</v>
      </c>
      <c r="AX123" t="s">
        <v>16</v>
      </c>
      <c r="AY123" t="s">
        <v>16</v>
      </c>
      <c r="AZ123" t="s">
        <v>16</v>
      </c>
      <c r="BA123" t="s">
        <v>16</v>
      </c>
      <c r="BB123">
        <v>2753</v>
      </c>
      <c r="BC123">
        <v>2762</v>
      </c>
      <c r="BD123" t="s">
        <v>16</v>
      </c>
      <c r="BE123" t="s">
        <v>2360</v>
      </c>
      <c r="BF123" t="str">
        <f>HYPERLINK("http://dx.doi.org/10.1534/g3.120.401354","http://dx.doi.org/10.1534/g3.120.401354")</f>
        <v>http://dx.doi.org/10.1534/g3.120.401354</v>
      </c>
      <c r="BG123" t="s">
        <v>16</v>
      </c>
      <c r="BH123" t="s">
        <v>16</v>
      </c>
      <c r="BI123">
        <v>10</v>
      </c>
      <c r="BJ123" t="s">
        <v>339</v>
      </c>
      <c r="BK123" t="s">
        <v>73</v>
      </c>
      <c r="BL123" t="s">
        <v>339</v>
      </c>
      <c r="BM123" t="s">
        <v>2361</v>
      </c>
      <c r="BN123">
        <v>32513654</v>
      </c>
      <c r="BO123" t="s">
        <v>216</v>
      </c>
      <c r="BP123" t="s">
        <v>16</v>
      </c>
      <c r="BQ123" t="s">
        <v>16</v>
      </c>
      <c r="BR123" t="s">
        <v>44</v>
      </c>
      <c r="BS123" t="s">
        <v>2362</v>
      </c>
      <c r="BT123" t="str">
        <f>HYPERLINK("https%3A%2F%2Fwww.webofscience.com%2Fwos%2Fwoscc%2Ffull-record%2FWOS:000560448200017","View Full Record in Web of Science")</f>
        <v>View Full Record in Web of Science</v>
      </c>
    </row>
    <row r="124" spans="1:72" x14ac:dyDescent="0.2">
      <c r="A124" t="s">
        <v>46</v>
      </c>
      <c r="B124" t="s">
        <v>2363</v>
      </c>
      <c r="C124" t="s">
        <v>16</v>
      </c>
      <c r="D124" t="s">
        <v>16</v>
      </c>
      <c r="E124" t="s">
        <v>16</v>
      </c>
      <c r="F124" t="s">
        <v>2364</v>
      </c>
      <c r="G124" t="s">
        <v>16</v>
      </c>
      <c r="H124" t="s">
        <v>16</v>
      </c>
      <c r="I124" t="s">
        <v>2365</v>
      </c>
      <c r="J124" t="s">
        <v>2366</v>
      </c>
      <c r="K124" t="s">
        <v>16</v>
      </c>
      <c r="L124" t="s">
        <v>16</v>
      </c>
      <c r="M124" t="s">
        <v>22</v>
      </c>
      <c r="N124" t="s">
        <v>118</v>
      </c>
      <c r="O124" t="s">
        <v>16</v>
      </c>
      <c r="P124" t="s">
        <v>16</v>
      </c>
      <c r="Q124" t="s">
        <v>16</v>
      </c>
      <c r="R124" t="s">
        <v>16</v>
      </c>
      <c r="S124" t="s">
        <v>16</v>
      </c>
      <c r="T124" t="s">
        <v>2367</v>
      </c>
      <c r="U124" t="s">
        <v>2368</v>
      </c>
      <c r="V124" t="s">
        <v>2369</v>
      </c>
      <c r="W124" t="s">
        <v>2370</v>
      </c>
      <c r="X124" t="s">
        <v>2371</v>
      </c>
      <c r="Y124" t="s">
        <v>2372</v>
      </c>
      <c r="Z124" t="s">
        <v>2373</v>
      </c>
      <c r="AA124" t="s">
        <v>2374</v>
      </c>
      <c r="AB124" t="s">
        <v>2375</v>
      </c>
      <c r="AC124" t="s">
        <v>2376</v>
      </c>
      <c r="AD124" t="s">
        <v>2377</v>
      </c>
      <c r="AE124" t="s">
        <v>2378</v>
      </c>
      <c r="AF124" t="s">
        <v>16</v>
      </c>
      <c r="AG124">
        <v>210</v>
      </c>
      <c r="AH124">
        <v>56</v>
      </c>
      <c r="AI124">
        <v>62</v>
      </c>
      <c r="AJ124">
        <v>9</v>
      </c>
      <c r="AK124">
        <v>50</v>
      </c>
      <c r="AL124" t="s">
        <v>2379</v>
      </c>
      <c r="AM124" t="s">
        <v>32</v>
      </c>
      <c r="AN124" t="s">
        <v>2380</v>
      </c>
      <c r="AO124" t="s">
        <v>2381</v>
      </c>
      <c r="AP124" t="s">
        <v>2382</v>
      </c>
      <c r="AQ124" t="s">
        <v>16</v>
      </c>
      <c r="AR124" t="s">
        <v>2366</v>
      </c>
      <c r="AS124" t="s">
        <v>2383</v>
      </c>
      <c r="AT124" t="s">
        <v>464</v>
      </c>
      <c r="AU124">
        <v>2021</v>
      </c>
      <c r="AV124">
        <v>113</v>
      </c>
      <c r="AW124">
        <v>3</v>
      </c>
      <c r="AX124" t="s">
        <v>16</v>
      </c>
      <c r="AY124" t="s">
        <v>16</v>
      </c>
      <c r="AZ124" t="s">
        <v>16</v>
      </c>
      <c r="BA124" t="s">
        <v>16</v>
      </c>
      <c r="BB124">
        <v>1070</v>
      </c>
      <c r="BC124">
        <v>1086</v>
      </c>
      <c r="BD124" t="s">
        <v>16</v>
      </c>
      <c r="BE124" t="s">
        <v>2384</v>
      </c>
      <c r="BF124" t="str">
        <f>HYPERLINK("http://dx.doi.org/10.1016/j.ygeno.2021.02.007","http://dx.doi.org/10.1016/j.ygeno.2021.02.007")</f>
        <v>http://dx.doi.org/10.1016/j.ygeno.2021.02.007</v>
      </c>
      <c r="BG124" t="s">
        <v>16</v>
      </c>
      <c r="BH124" t="s">
        <v>2385</v>
      </c>
      <c r="BI124">
        <v>17</v>
      </c>
      <c r="BJ124" t="s">
        <v>296</v>
      </c>
      <c r="BK124" t="s">
        <v>73</v>
      </c>
      <c r="BL124" t="s">
        <v>509</v>
      </c>
      <c r="BM124" t="s">
        <v>2386</v>
      </c>
      <c r="BN124">
        <v>33610797</v>
      </c>
      <c r="BO124" t="s">
        <v>666</v>
      </c>
      <c r="BP124" t="s">
        <v>16</v>
      </c>
      <c r="BQ124" t="s">
        <v>16</v>
      </c>
      <c r="BR124" t="s">
        <v>44</v>
      </c>
      <c r="BS124" t="s">
        <v>2387</v>
      </c>
      <c r="BT124" t="str">
        <f>HYPERLINK("https%3A%2F%2Fwww.webofscience.com%2Fwos%2Fwoscc%2Ffull-record%2FWOS:000661250200007","View Full Record in Web of Science")</f>
        <v>View Full Record in Web of Science</v>
      </c>
    </row>
    <row r="125" spans="1:72" x14ac:dyDescent="0.2">
      <c r="A125" t="s">
        <v>46</v>
      </c>
      <c r="B125" t="s">
        <v>2388</v>
      </c>
      <c r="C125" t="s">
        <v>16</v>
      </c>
      <c r="D125" t="s">
        <v>16</v>
      </c>
      <c r="E125" t="s">
        <v>16</v>
      </c>
      <c r="F125" t="s">
        <v>2388</v>
      </c>
      <c r="G125" t="s">
        <v>16</v>
      </c>
      <c r="H125" t="s">
        <v>16</v>
      </c>
      <c r="I125" t="s">
        <v>2389</v>
      </c>
      <c r="J125" t="s">
        <v>117</v>
      </c>
      <c r="K125" t="s">
        <v>16</v>
      </c>
      <c r="L125" t="s">
        <v>16</v>
      </c>
      <c r="M125" t="s">
        <v>22</v>
      </c>
      <c r="N125" t="s">
        <v>51</v>
      </c>
      <c r="O125" t="s">
        <v>16</v>
      </c>
      <c r="P125" t="s">
        <v>16</v>
      </c>
      <c r="Q125" t="s">
        <v>16</v>
      </c>
      <c r="R125" t="s">
        <v>16</v>
      </c>
      <c r="S125" t="s">
        <v>16</v>
      </c>
      <c r="T125" t="s">
        <v>2390</v>
      </c>
      <c r="U125" t="s">
        <v>2391</v>
      </c>
      <c r="V125" t="s">
        <v>2392</v>
      </c>
      <c r="W125" t="s">
        <v>2393</v>
      </c>
      <c r="X125" t="s">
        <v>2394</v>
      </c>
      <c r="Y125" t="s">
        <v>2395</v>
      </c>
      <c r="Z125" t="s">
        <v>16</v>
      </c>
      <c r="AA125" t="s">
        <v>16</v>
      </c>
      <c r="AB125" t="s">
        <v>2396</v>
      </c>
      <c r="AC125" t="s">
        <v>16</v>
      </c>
      <c r="AD125" t="s">
        <v>16</v>
      </c>
      <c r="AE125" t="s">
        <v>16</v>
      </c>
      <c r="AF125" t="s">
        <v>16</v>
      </c>
      <c r="AG125">
        <v>26</v>
      </c>
      <c r="AH125">
        <v>7</v>
      </c>
      <c r="AI125">
        <v>7</v>
      </c>
      <c r="AJ125">
        <v>1</v>
      </c>
      <c r="AK125">
        <v>5</v>
      </c>
      <c r="AL125" t="s">
        <v>1742</v>
      </c>
      <c r="AM125" t="s">
        <v>129</v>
      </c>
      <c r="AN125" t="s">
        <v>1743</v>
      </c>
      <c r="AO125" t="s">
        <v>131</v>
      </c>
      <c r="AP125" t="s">
        <v>16</v>
      </c>
      <c r="AQ125" t="s">
        <v>16</v>
      </c>
      <c r="AR125" t="s">
        <v>133</v>
      </c>
      <c r="AS125" t="s">
        <v>134</v>
      </c>
      <c r="AT125" t="s">
        <v>576</v>
      </c>
      <c r="AU125">
        <v>1993</v>
      </c>
      <c r="AV125">
        <v>87</v>
      </c>
      <c r="AW125" t="s">
        <v>1296</v>
      </c>
      <c r="AX125" t="s">
        <v>16</v>
      </c>
      <c r="AY125" t="s">
        <v>16</v>
      </c>
      <c r="AZ125" t="s">
        <v>16</v>
      </c>
      <c r="BA125" t="s">
        <v>16</v>
      </c>
      <c r="BB125">
        <v>152</v>
      </c>
      <c r="BC125">
        <v>160</v>
      </c>
      <c r="BD125" t="s">
        <v>16</v>
      </c>
      <c r="BE125" t="s">
        <v>2397</v>
      </c>
      <c r="BF125" t="str">
        <f>HYPERLINK("http://dx.doi.org/10.1007/BF00223759","http://dx.doi.org/10.1007/BF00223759")</f>
        <v>http://dx.doi.org/10.1007/BF00223759</v>
      </c>
      <c r="BG125" t="s">
        <v>16</v>
      </c>
      <c r="BH125" t="s">
        <v>16</v>
      </c>
      <c r="BI125">
        <v>9</v>
      </c>
      <c r="BJ125" t="s">
        <v>296</v>
      </c>
      <c r="BK125" t="s">
        <v>73</v>
      </c>
      <c r="BL125" t="s">
        <v>137</v>
      </c>
      <c r="BM125" t="s">
        <v>2398</v>
      </c>
      <c r="BN125">
        <v>24190207</v>
      </c>
      <c r="BO125" t="s">
        <v>16</v>
      </c>
      <c r="BP125" t="s">
        <v>16</v>
      </c>
      <c r="BQ125" t="s">
        <v>16</v>
      </c>
      <c r="BR125" t="s">
        <v>44</v>
      </c>
      <c r="BS125" t="s">
        <v>2399</v>
      </c>
      <c r="BT125" t="str">
        <f>HYPERLINK("https%3A%2F%2Fwww.webofscience.com%2Fwos%2Fwoscc%2Ffull-record%2FWOS:A1993MF02600025","View Full Record in Web of Science")</f>
        <v>View Full Record in Web of Science</v>
      </c>
    </row>
    <row r="126" spans="1:72" x14ac:dyDescent="0.2">
      <c r="A126" t="s">
        <v>46</v>
      </c>
      <c r="B126" t="s">
        <v>2400</v>
      </c>
      <c r="C126" t="s">
        <v>16</v>
      </c>
      <c r="D126" t="s">
        <v>16</v>
      </c>
      <c r="E126" t="s">
        <v>16</v>
      </c>
      <c r="F126" t="s">
        <v>2401</v>
      </c>
      <c r="G126" t="s">
        <v>16</v>
      </c>
      <c r="H126" t="s">
        <v>16</v>
      </c>
      <c r="I126" t="s">
        <v>2402</v>
      </c>
      <c r="J126" t="s">
        <v>50</v>
      </c>
      <c r="K126" t="s">
        <v>16</v>
      </c>
      <c r="L126" t="s">
        <v>16</v>
      </c>
      <c r="M126" t="s">
        <v>22</v>
      </c>
      <c r="N126" t="s">
        <v>51</v>
      </c>
      <c r="O126" t="s">
        <v>16</v>
      </c>
      <c r="P126" t="s">
        <v>16</v>
      </c>
      <c r="Q126" t="s">
        <v>16</v>
      </c>
      <c r="R126" t="s">
        <v>16</v>
      </c>
      <c r="S126" t="s">
        <v>16</v>
      </c>
      <c r="T126" t="s">
        <v>16</v>
      </c>
      <c r="U126" t="s">
        <v>2403</v>
      </c>
      <c r="V126" t="s">
        <v>2404</v>
      </c>
      <c r="W126" t="s">
        <v>2405</v>
      </c>
      <c r="X126" t="s">
        <v>2406</v>
      </c>
      <c r="Y126" t="s">
        <v>2407</v>
      </c>
      <c r="Z126" t="s">
        <v>2408</v>
      </c>
      <c r="AA126" t="s">
        <v>2409</v>
      </c>
      <c r="AB126" t="s">
        <v>2410</v>
      </c>
      <c r="AC126" t="s">
        <v>2411</v>
      </c>
      <c r="AD126" t="s">
        <v>2412</v>
      </c>
      <c r="AE126" t="s">
        <v>2413</v>
      </c>
      <c r="AF126" t="s">
        <v>16</v>
      </c>
      <c r="AG126">
        <v>36</v>
      </c>
      <c r="AH126">
        <v>8</v>
      </c>
      <c r="AI126">
        <v>8</v>
      </c>
      <c r="AJ126">
        <v>0</v>
      </c>
      <c r="AK126">
        <v>7</v>
      </c>
      <c r="AL126" t="s">
        <v>63</v>
      </c>
      <c r="AM126" t="s">
        <v>64</v>
      </c>
      <c r="AN126" t="s">
        <v>65</v>
      </c>
      <c r="AO126" t="s">
        <v>66</v>
      </c>
      <c r="AP126" t="s">
        <v>67</v>
      </c>
      <c r="AQ126" t="s">
        <v>16</v>
      </c>
      <c r="AR126" t="s">
        <v>68</v>
      </c>
      <c r="AS126" t="s">
        <v>69</v>
      </c>
      <c r="AT126" t="s">
        <v>2414</v>
      </c>
      <c r="AU126">
        <v>2018</v>
      </c>
      <c r="AV126">
        <v>58</v>
      </c>
      <c r="AW126">
        <v>2</v>
      </c>
      <c r="AX126" t="s">
        <v>16</v>
      </c>
      <c r="AY126" t="s">
        <v>16</v>
      </c>
      <c r="AZ126" t="s">
        <v>16</v>
      </c>
      <c r="BA126" t="s">
        <v>16</v>
      </c>
      <c r="BB126">
        <v>752</v>
      </c>
      <c r="BC126">
        <v>761</v>
      </c>
      <c r="BD126" t="s">
        <v>16</v>
      </c>
      <c r="BE126" t="s">
        <v>2415</v>
      </c>
      <c r="BF126" t="str">
        <f>HYPERLINK("http://dx.doi.org/10.2135/cropsci2017.10.0615","http://dx.doi.org/10.2135/cropsci2017.10.0615")</f>
        <v>http://dx.doi.org/10.2135/cropsci2017.10.0615</v>
      </c>
      <c r="BG126" t="s">
        <v>16</v>
      </c>
      <c r="BH126" t="s">
        <v>16</v>
      </c>
      <c r="BI126">
        <v>10</v>
      </c>
      <c r="BJ126" t="s">
        <v>40</v>
      </c>
      <c r="BK126" t="s">
        <v>73</v>
      </c>
      <c r="BL126" t="s">
        <v>42</v>
      </c>
      <c r="BM126" t="s">
        <v>2416</v>
      </c>
      <c r="BN126" t="s">
        <v>16</v>
      </c>
      <c r="BO126" t="s">
        <v>16</v>
      </c>
      <c r="BP126" t="s">
        <v>16</v>
      </c>
      <c r="BQ126" t="s">
        <v>16</v>
      </c>
      <c r="BR126" t="s">
        <v>44</v>
      </c>
      <c r="BS126" t="s">
        <v>2417</v>
      </c>
      <c r="BT126" t="str">
        <f>HYPERLINK("https%3A%2F%2Fwww.webofscience.com%2Fwos%2Fwoscc%2Ffull-record%2FWOS:000429460300027","View Full Record in Web of Science")</f>
        <v>View Full Record in Web of Science</v>
      </c>
    </row>
    <row r="127" spans="1:72" x14ac:dyDescent="0.2">
      <c r="A127" t="s">
        <v>46</v>
      </c>
      <c r="B127" t="s">
        <v>2418</v>
      </c>
      <c r="C127" t="s">
        <v>16</v>
      </c>
      <c r="D127" t="s">
        <v>16</v>
      </c>
      <c r="E127" t="s">
        <v>16</v>
      </c>
      <c r="F127" t="s">
        <v>2419</v>
      </c>
      <c r="G127" t="s">
        <v>16</v>
      </c>
      <c r="H127" t="s">
        <v>16</v>
      </c>
      <c r="I127" t="s">
        <v>2420</v>
      </c>
      <c r="J127" t="s">
        <v>2421</v>
      </c>
      <c r="K127" t="s">
        <v>16</v>
      </c>
      <c r="L127" t="s">
        <v>16</v>
      </c>
      <c r="M127" t="s">
        <v>2422</v>
      </c>
      <c r="N127" t="s">
        <v>51</v>
      </c>
      <c r="O127" t="s">
        <v>16</v>
      </c>
      <c r="P127" t="s">
        <v>16</v>
      </c>
      <c r="Q127" t="s">
        <v>16</v>
      </c>
      <c r="R127" t="s">
        <v>16</v>
      </c>
      <c r="S127" t="s">
        <v>16</v>
      </c>
      <c r="T127" t="s">
        <v>2423</v>
      </c>
      <c r="U127" t="s">
        <v>2424</v>
      </c>
      <c r="V127" t="s">
        <v>2425</v>
      </c>
      <c r="W127" t="s">
        <v>2426</v>
      </c>
      <c r="X127" t="s">
        <v>2427</v>
      </c>
      <c r="Y127" t="s">
        <v>2428</v>
      </c>
      <c r="Z127" t="s">
        <v>2429</v>
      </c>
      <c r="AA127" t="s">
        <v>2430</v>
      </c>
      <c r="AB127" t="s">
        <v>2431</v>
      </c>
      <c r="AC127" t="s">
        <v>16</v>
      </c>
      <c r="AD127" t="s">
        <v>16</v>
      </c>
      <c r="AE127" t="s">
        <v>16</v>
      </c>
      <c r="AF127" t="s">
        <v>16</v>
      </c>
      <c r="AG127">
        <v>34</v>
      </c>
      <c r="AH127">
        <v>3</v>
      </c>
      <c r="AI127">
        <v>3</v>
      </c>
      <c r="AJ127">
        <v>0</v>
      </c>
      <c r="AK127">
        <v>29</v>
      </c>
      <c r="AL127" t="s">
        <v>2432</v>
      </c>
      <c r="AM127" t="s">
        <v>2433</v>
      </c>
      <c r="AN127" t="s">
        <v>2434</v>
      </c>
      <c r="AO127" t="s">
        <v>2435</v>
      </c>
      <c r="AP127" t="s">
        <v>16</v>
      </c>
      <c r="AQ127" t="s">
        <v>16</v>
      </c>
      <c r="AR127" t="s">
        <v>2421</v>
      </c>
      <c r="AS127" t="s">
        <v>2436</v>
      </c>
      <c r="AT127" t="s">
        <v>623</v>
      </c>
      <c r="AU127">
        <v>2016</v>
      </c>
      <c r="AV127" t="s">
        <v>16</v>
      </c>
      <c r="AW127">
        <v>225</v>
      </c>
      <c r="AX127" t="s">
        <v>16</v>
      </c>
      <c r="AY127" t="s">
        <v>16</v>
      </c>
      <c r="AZ127" t="s">
        <v>16</v>
      </c>
      <c r="BA127" t="s">
        <v>16</v>
      </c>
      <c r="BB127">
        <v>21</v>
      </c>
      <c r="BC127">
        <v>28</v>
      </c>
      <c r="BD127" t="s">
        <v>16</v>
      </c>
      <c r="BE127" t="s">
        <v>16</v>
      </c>
      <c r="BF127" t="s">
        <v>16</v>
      </c>
      <c r="BG127" t="s">
        <v>16</v>
      </c>
      <c r="BH127" t="s">
        <v>16</v>
      </c>
      <c r="BI127">
        <v>8</v>
      </c>
      <c r="BJ127" t="s">
        <v>296</v>
      </c>
      <c r="BK127" t="s">
        <v>73</v>
      </c>
      <c r="BL127" t="s">
        <v>42</v>
      </c>
      <c r="BM127" t="s">
        <v>2437</v>
      </c>
      <c r="BN127" t="s">
        <v>16</v>
      </c>
      <c r="BO127" t="s">
        <v>16</v>
      </c>
      <c r="BP127" t="s">
        <v>16</v>
      </c>
      <c r="BQ127" t="s">
        <v>16</v>
      </c>
      <c r="BR127" t="s">
        <v>44</v>
      </c>
      <c r="BS127" t="s">
        <v>2438</v>
      </c>
      <c r="BT127" t="str">
        <f>HYPERLINK("https%3A%2F%2Fwww.webofscience.com%2Fwos%2Fwoscc%2Ffull-record%2FWOS:000376472700003","View Full Record in Web of Science")</f>
        <v>View Full Record in Web of Science</v>
      </c>
    </row>
    <row r="128" spans="1:72" x14ac:dyDescent="0.2">
      <c r="A128" t="s">
        <v>46</v>
      </c>
      <c r="B128" t="s">
        <v>2439</v>
      </c>
      <c r="C128" t="s">
        <v>16</v>
      </c>
      <c r="D128" t="s">
        <v>16</v>
      </c>
      <c r="E128" t="s">
        <v>16</v>
      </c>
      <c r="F128" t="s">
        <v>2439</v>
      </c>
      <c r="G128" t="s">
        <v>16</v>
      </c>
      <c r="H128" t="s">
        <v>16</v>
      </c>
      <c r="I128" t="s">
        <v>2440</v>
      </c>
      <c r="J128" t="s">
        <v>50</v>
      </c>
      <c r="K128" t="s">
        <v>16</v>
      </c>
      <c r="L128" t="s">
        <v>16</v>
      </c>
      <c r="M128" t="s">
        <v>22</v>
      </c>
      <c r="N128" t="s">
        <v>51</v>
      </c>
      <c r="O128" t="s">
        <v>16</v>
      </c>
      <c r="P128" t="s">
        <v>16</v>
      </c>
      <c r="Q128" t="s">
        <v>16</v>
      </c>
      <c r="R128" t="s">
        <v>16</v>
      </c>
      <c r="S128" t="s">
        <v>16</v>
      </c>
      <c r="T128" t="s">
        <v>16</v>
      </c>
      <c r="U128" t="s">
        <v>16</v>
      </c>
      <c r="V128" t="s">
        <v>2441</v>
      </c>
      <c r="W128" t="s">
        <v>2442</v>
      </c>
      <c r="X128" t="s">
        <v>16</v>
      </c>
      <c r="Y128" t="s">
        <v>16</v>
      </c>
      <c r="Z128" t="s">
        <v>16</v>
      </c>
      <c r="AA128" t="s">
        <v>16</v>
      </c>
      <c r="AB128" t="s">
        <v>16</v>
      </c>
      <c r="AC128" t="s">
        <v>16</v>
      </c>
      <c r="AD128" t="s">
        <v>16</v>
      </c>
      <c r="AE128" t="s">
        <v>16</v>
      </c>
      <c r="AF128" t="s">
        <v>16</v>
      </c>
      <c r="AG128">
        <v>17</v>
      </c>
      <c r="AH128">
        <v>87</v>
      </c>
      <c r="AI128">
        <v>93</v>
      </c>
      <c r="AJ128">
        <v>0</v>
      </c>
      <c r="AK128">
        <v>1</v>
      </c>
      <c r="AL128" t="s">
        <v>63</v>
      </c>
      <c r="AM128" t="s">
        <v>64</v>
      </c>
      <c r="AN128" t="s">
        <v>65</v>
      </c>
      <c r="AO128" t="s">
        <v>66</v>
      </c>
      <c r="AP128" t="s">
        <v>67</v>
      </c>
      <c r="AQ128" t="s">
        <v>16</v>
      </c>
      <c r="AR128" t="s">
        <v>68</v>
      </c>
      <c r="AS128" t="s">
        <v>69</v>
      </c>
      <c r="AT128" t="s">
        <v>16</v>
      </c>
      <c r="AU128">
        <v>1982</v>
      </c>
      <c r="AV128">
        <v>22</v>
      </c>
      <c r="AW128">
        <v>3</v>
      </c>
      <c r="AX128" t="s">
        <v>16</v>
      </c>
      <c r="AY128" t="s">
        <v>16</v>
      </c>
      <c r="AZ128" t="s">
        <v>16</v>
      </c>
      <c r="BA128" t="s">
        <v>16</v>
      </c>
      <c r="BB128">
        <v>631</v>
      </c>
      <c r="BC128">
        <v>637</v>
      </c>
      <c r="BD128" t="s">
        <v>16</v>
      </c>
      <c r="BE128" t="s">
        <v>2443</v>
      </c>
      <c r="BF128" t="str">
        <f>HYPERLINK("http://dx.doi.org/10.2135/cropsci1982.0011183X002200030049x","http://dx.doi.org/10.2135/cropsci1982.0011183X002200030049x")</f>
        <v>http://dx.doi.org/10.2135/cropsci1982.0011183X002200030049x</v>
      </c>
      <c r="BG128" t="s">
        <v>16</v>
      </c>
      <c r="BH128" t="s">
        <v>16</v>
      </c>
      <c r="BI128">
        <v>7</v>
      </c>
      <c r="BJ128" t="s">
        <v>40</v>
      </c>
      <c r="BK128" t="s">
        <v>73</v>
      </c>
      <c r="BL128" t="s">
        <v>42</v>
      </c>
      <c r="BM128" t="s">
        <v>2444</v>
      </c>
      <c r="BN128" t="s">
        <v>16</v>
      </c>
      <c r="BO128" t="s">
        <v>16</v>
      </c>
      <c r="BP128" t="s">
        <v>16</v>
      </c>
      <c r="BQ128" t="s">
        <v>16</v>
      </c>
      <c r="BR128" t="s">
        <v>44</v>
      </c>
      <c r="BS128" t="s">
        <v>2445</v>
      </c>
      <c r="BT128" t="str">
        <f>HYPERLINK("https%3A%2F%2Fwww.webofscience.com%2Fwos%2Fwoscc%2Ffull-record%2FWOS:A1982NX51600046","View Full Record in Web of Science")</f>
        <v>View Full Record in Web of Science</v>
      </c>
    </row>
    <row r="129" spans="1:72" x14ac:dyDescent="0.2">
      <c r="A129" t="s">
        <v>46</v>
      </c>
      <c r="B129" t="s">
        <v>2446</v>
      </c>
      <c r="C129" t="s">
        <v>16</v>
      </c>
      <c r="D129" t="s">
        <v>16</v>
      </c>
      <c r="E129" t="s">
        <v>16</v>
      </c>
      <c r="F129" t="s">
        <v>2447</v>
      </c>
      <c r="G129" t="s">
        <v>16</v>
      </c>
      <c r="H129" t="s">
        <v>16</v>
      </c>
      <c r="I129" t="s">
        <v>2448</v>
      </c>
      <c r="J129" t="s">
        <v>117</v>
      </c>
      <c r="K129" t="s">
        <v>16</v>
      </c>
      <c r="L129" t="s">
        <v>16</v>
      </c>
      <c r="M129" t="s">
        <v>22</v>
      </c>
      <c r="N129" t="s">
        <v>118</v>
      </c>
      <c r="O129" t="s">
        <v>16</v>
      </c>
      <c r="P129" t="s">
        <v>16</v>
      </c>
      <c r="Q129" t="s">
        <v>16</v>
      </c>
      <c r="R129" t="s">
        <v>16</v>
      </c>
      <c r="S129" t="s">
        <v>16</v>
      </c>
      <c r="T129" t="s">
        <v>16</v>
      </c>
      <c r="U129" t="s">
        <v>2449</v>
      </c>
      <c r="V129" t="s">
        <v>2450</v>
      </c>
      <c r="W129" t="s">
        <v>2451</v>
      </c>
      <c r="X129" t="s">
        <v>2452</v>
      </c>
      <c r="Y129" t="s">
        <v>2453</v>
      </c>
      <c r="Z129" t="s">
        <v>2454</v>
      </c>
      <c r="AA129" t="s">
        <v>2455</v>
      </c>
      <c r="AB129" t="s">
        <v>2456</v>
      </c>
      <c r="AC129" t="s">
        <v>2457</v>
      </c>
      <c r="AD129" t="s">
        <v>2458</v>
      </c>
      <c r="AE129" t="s">
        <v>16</v>
      </c>
      <c r="AF129" t="s">
        <v>16</v>
      </c>
      <c r="AG129">
        <v>36</v>
      </c>
      <c r="AH129">
        <v>19</v>
      </c>
      <c r="AI129">
        <v>21</v>
      </c>
      <c r="AJ129">
        <v>3</v>
      </c>
      <c r="AK129">
        <v>82</v>
      </c>
      <c r="AL129" t="s">
        <v>128</v>
      </c>
      <c r="AM129" t="s">
        <v>129</v>
      </c>
      <c r="AN129" t="s">
        <v>130</v>
      </c>
      <c r="AO129" t="s">
        <v>131</v>
      </c>
      <c r="AP129" t="s">
        <v>132</v>
      </c>
      <c r="AQ129" t="s">
        <v>16</v>
      </c>
      <c r="AR129" t="s">
        <v>133</v>
      </c>
      <c r="AS129" t="s">
        <v>134</v>
      </c>
      <c r="AT129" t="s">
        <v>464</v>
      </c>
      <c r="AU129">
        <v>2020</v>
      </c>
      <c r="AV129">
        <v>133</v>
      </c>
      <c r="AW129">
        <v>5</v>
      </c>
      <c r="AX129" t="s">
        <v>16</v>
      </c>
      <c r="AY129" t="s">
        <v>16</v>
      </c>
      <c r="AZ129" t="s">
        <v>188</v>
      </c>
      <c r="BA129" t="s">
        <v>16</v>
      </c>
      <c r="BB129">
        <v>1491</v>
      </c>
      <c r="BC129">
        <v>1502</v>
      </c>
      <c r="BD129" t="s">
        <v>16</v>
      </c>
      <c r="BE129" t="s">
        <v>2459</v>
      </c>
      <c r="BF129" t="str">
        <f>HYPERLINK("http://dx.doi.org/10.1007/s00122-019-03493-z","http://dx.doi.org/10.1007/s00122-019-03493-z")</f>
        <v>http://dx.doi.org/10.1007/s00122-019-03493-z</v>
      </c>
      <c r="BG129" t="s">
        <v>16</v>
      </c>
      <c r="BH129" t="s">
        <v>16</v>
      </c>
      <c r="BI129">
        <v>12</v>
      </c>
      <c r="BJ129" t="s">
        <v>296</v>
      </c>
      <c r="BK129" t="s">
        <v>73</v>
      </c>
      <c r="BL129" t="s">
        <v>137</v>
      </c>
      <c r="BM129" t="s">
        <v>2460</v>
      </c>
      <c r="BN129">
        <v>31811314</v>
      </c>
      <c r="BO129" t="s">
        <v>16</v>
      </c>
      <c r="BP129" t="s">
        <v>16</v>
      </c>
      <c r="BQ129" t="s">
        <v>16</v>
      </c>
      <c r="BR129" t="s">
        <v>44</v>
      </c>
      <c r="BS129" t="s">
        <v>2461</v>
      </c>
      <c r="BT129" t="str">
        <f>HYPERLINK("https%3A%2F%2Fwww.webofscience.com%2Fwos%2Fwoscc%2Ffull-record%2FWOS:000531920500007","View Full Record in Web of Science")</f>
        <v>View Full Record in Web of Science</v>
      </c>
    </row>
    <row r="130" spans="1:72" x14ac:dyDescent="0.2">
      <c r="A130" t="s">
        <v>46</v>
      </c>
      <c r="B130" t="s">
        <v>2462</v>
      </c>
      <c r="C130" t="s">
        <v>16</v>
      </c>
      <c r="D130" t="s">
        <v>16</v>
      </c>
      <c r="E130" t="s">
        <v>16</v>
      </c>
      <c r="F130" t="s">
        <v>2463</v>
      </c>
      <c r="G130" t="s">
        <v>16</v>
      </c>
      <c r="H130" t="s">
        <v>16</v>
      </c>
      <c r="I130" t="s">
        <v>2464</v>
      </c>
      <c r="J130" t="s">
        <v>2465</v>
      </c>
      <c r="K130" t="s">
        <v>16</v>
      </c>
      <c r="L130" t="s">
        <v>16</v>
      </c>
      <c r="M130" t="s">
        <v>22</v>
      </c>
      <c r="N130" t="s">
        <v>51</v>
      </c>
      <c r="O130" t="s">
        <v>16</v>
      </c>
      <c r="P130" t="s">
        <v>16</v>
      </c>
      <c r="Q130" t="s">
        <v>16</v>
      </c>
      <c r="R130" t="s">
        <v>16</v>
      </c>
      <c r="S130" t="s">
        <v>16</v>
      </c>
      <c r="T130" t="s">
        <v>2466</v>
      </c>
      <c r="U130" t="s">
        <v>2467</v>
      </c>
      <c r="V130" t="s">
        <v>2468</v>
      </c>
      <c r="W130" t="s">
        <v>2469</v>
      </c>
      <c r="X130" t="s">
        <v>2470</v>
      </c>
      <c r="Y130" t="s">
        <v>2471</v>
      </c>
      <c r="Z130" t="s">
        <v>2472</v>
      </c>
      <c r="AA130" t="s">
        <v>2473</v>
      </c>
      <c r="AB130" t="s">
        <v>2474</v>
      </c>
      <c r="AC130" t="s">
        <v>2475</v>
      </c>
      <c r="AD130" t="s">
        <v>2476</v>
      </c>
      <c r="AE130" t="s">
        <v>2477</v>
      </c>
      <c r="AF130" t="s">
        <v>16</v>
      </c>
      <c r="AG130">
        <v>49</v>
      </c>
      <c r="AH130">
        <v>23</v>
      </c>
      <c r="AI130">
        <v>24</v>
      </c>
      <c r="AJ130">
        <v>1</v>
      </c>
      <c r="AK130">
        <v>104</v>
      </c>
      <c r="AL130" t="s">
        <v>63</v>
      </c>
      <c r="AM130" t="s">
        <v>64</v>
      </c>
      <c r="AN130" t="s">
        <v>65</v>
      </c>
      <c r="AO130" t="s">
        <v>2478</v>
      </c>
      <c r="AP130" t="s">
        <v>2479</v>
      </c>
      <c r="AQ130" t="s">
        <v>16</v>
      </c>
      <c r="AR130" t="s">
        <v>2480</v>
      </c>
      <c r="AS130" t="s">
        <v>2481</v>
      </c>
      <c r="AT130" t="s">
        <v>812</v>
      </c>
      <c r="AU130">
        <v>2015</v>
      </c>
      <c r="AV130">
        <v>18</v>
      </c>
      <c r="AW130">
        <v>9</v>
      </c>
      <c r="AX130" t="s">
        <v>16</v>
      </c>
      <c r="AY130" t="s">
        <v>16</v>
      </c>
      <c r="AZ130" t="s">
        <v>16</v>
      </c>
      <c r="BA130" t="s">
        <v>16</v>
      </c>
      <c r="BB130">
        <v>907</v>
      </c>
      <c r="BC130">
        <v>915</v>
      </c>
      <c r="BD130" t="s">
        <v>16</v>
      </c>
      <c r="BE130" t="s">
        <v>2482</v>
      </c>
      <c r="BF130" t="str">
        <f>HYPERLINK("http://dx.doi.org/10.1111/ele.12467","http://dx.doi.org/10.1111/ele.12467")</f>
        <v>http://dx.doi.org/10.1111/ele.12467</v>
      </c>
      <c r="BG130" t="s">
        <v>16</v>
      </c>
      <c r="BH130" t="s">
        <v>16</v>
      </c>
      <c r="BI130">
        <v>9</v>
      </c>
      <c r="BJ130" t="s">
        <v>2483</v>
      </c>
      <c r="BK130" t="s">
        <v>73</v>
      </c>
      <c r="BL130" t="s">
        <v>1166</v>
      </c>
      <c r="BM130" t="s">
        <v>2484</v>
      </c>
      <c r="BN130">
        <v>26100381</v>
      </c>
      <c r="BO130" t="s">
        <v>16</v>
      </c>
      <c r="BP130" t="s">
        <v>16</v>
      </c>
      <c r="BQ130" t="s">
        <v>16</v>
      </c>
      <c r="BR130" t="s">
        <v>44</v>
      </c>
      <c r="BS130" t="s">
        <v>2485</v>
      </c>
      <c r="BT130" t="str">
        <f>HYPERLINK("https%3A%2F%2Fwww.webofscience.com%2Fwos%2Fwoscc%2Ffull-record%2FWOS:000359601100004","View Full Record in Web of Science")</f>
        <v>View Full Record in Web of Science</v>
      </c>
    </row>
    <row r="131" spans="1:72" x14ac:dyDescent="0.2">
      <c r="A131" t="s">
        <v>46</v>
      </c>
      <c r="B131" t="s">
        <v>2486</v>
      </c>
      <c r="C131" t="s">
        <v>16</v>
      </c>
      <c r="D131" t="s">
        <v>16</v>
      </c>
      <c r="E131" t="s">
        <v>16</v>
      </c>
      <c r="F131" t="s">
        <v>2486</v>
      </c>
      <c r="G131" t="s">
        <v>16</v>
      </c>
      <c r="H131" t="s">
        <v>16</v>
      </c>
      <c r="I131" t="s">
        <v>2487</v>
      </c>
      <c r="J131" t="s">
        <v>50</v>
      </c>
      <c r="K131" t="s">
        <v>16</v>
      </c>
      <c r="L131" t="s">
        <v>16</v>
      </c>
      <c r="M131" t="s">
        <v>22</v>
      </c>
      <c r="N131" t="s">
        <v>51</v>
      </c>
      <c r="O131" t="s">
        <v>16</v>
      </c>
      <c r="P131" t="s">
        <v>16</v>
      </c>
      <c r="Q131" t="s">
        <v>16</v>
      </c>
      <c r="R131" t="s">
        <v>16</v>
      </c>
      <c r="S131" t="s">
        <v>16</v>
      </c>
      <c r="T131" t="s">
        <v>16</v>
      </c>
      <c r="U131" t="s">
        <v>16</v>
      </c>
      <c r="V131" t="s">
        <v>2488</v>
      </c>
      <c r="W131" t="s">
        <v>2489</v>
      </c>
      <c r="X131" t="s">
        <v>2490</v>
      </c>
      <c r="Y131" t="s">
        <v>16</v>
      </c>
      <c r="Z131" t="s">
        <v>16</v>
      </c>
      <c r="AA131" t="s">
        <v>16</v>
      </c>
      <c r="AB131" t="s">
        <v>16</v>
      </c>
      <c r="AC131" t="s">
        <v>16</v>
      </c>
      <c r="AD131" t="s">
        <v>16</v>
      </c>
      <c r="AE131" t="s">
        <v>16</v>
      </c>
      <c r="AF131" t="s">
        <v>16</v>
      </c>
      <c r="AG131">
        <v>6</v>
      </c>
      <c r="AH131">
        <v>15</v>
      </c>
      <c r="AI131">
        <v>16</v>
      </c>
      <c r="AJ131">
        <v>0</v>
      </c>
      <c r="AK131">
        <v>1</v>
      </c>
      <c r="AL131" t="s">
        <v>63</v>
      </c>
      <c r="AM131" t="s">
        <v>64</v>
      </c>
      <c r="AN131" t="s">
        <v>65</v>
      </c>
      <c r="AO131" t="s">
        <v>66</v>
      </c>
      <c r="AP131" t="s">
        <v>67</v>
      </c>
      <c r="AQ131" t="s">
        <v>16</v>
      </c>
      <c r="AR131" t="s">
        <v>68</v>
      </c>
      <c r="AS131" t="s">
        <v>69</v>
      </c>
      <c r="AT131" t="s">
        <v>2414</v>
      </c>
      <c r="AU131">
        <v>1991</v>
      </c>
      <c r="AV131">
        <v>31</v>
      </c>
      <c r="AW131">
        <v>2</v>
      </c>
      <c r="AX131" t="s">
        <v>16</v>
      </c>
      <c r="AY131" t="s">
        <v>16</v>
      </c>
      <c r="AZ131" t="s">
        <v>16</v>
      </c>
      <c r="BA131" t="s">
        <v>16</v>
      </c>
      <c r="BB131">
        <v>253</v>
      </c>
      <c r="BC131">
        <v>255</v>
      </c>
      <c r="BD131" t="s">
        <v>16</v>
      </c>
      <c r="BE131" t="s">
        <v>2491</v>
      </c>
      <c r="BF131" t="str">
        <f>HYPERLINK("http://dx.doi.org/10.2135/cropsci1991.0011183X003100020002x","http://dx.doi.org/10.2135/cropsci1991.0011183X003100020002x")</f>
        <v>http://dx.doi.org/10.2135/cropsci1991.0011183X003100020002x</v>
      </c>
      <c r="BG131" t="s">
        <v>16</v>
      </c>
      <c r="BH131" t="s">
        <v>16</v>
      </c>
      <c r="BI131">
        <v>3</v>
      </c>
      <c r="BJ131" t="s">
        <v>40</v>
      </c>
      <c r="BK131" t="s">
        <v>73</v>
      </c>
      <c r="BL131" t="s">
        <v>42</v>
      </c>
      <c r="BM131" t="s">
        <v>2492</v>
      </c>
      <c r="BN131" t="s">
        <v>16</v>
      </c>
      <c r="BO131" t="s">
        <v>16</v>
      </c>
      <c r="BP131" t="s">
        <v>16</v>
      </c>
      <c r="BQ131" t="s">
        <v>16</v>
      </c>
      <c r="BR131" t="s">
        <v>44</v>
      </c>
      <c r="BS131" t="s">
        <v>2493</v>
      </c>
      <c r="BT131" t="str">
        <f>HYPERLINK("https%3A%2F%2Fwww.webofscience.com%2Fwos%2Fwoscc%2Ffull-record%2FWOS:A1991FZ64300001","View Full Record in Web of Science")</f>
        <v>View Full Record in Web of Science</v>
      </c>
    </row>
    <row r="132" spans="1:72" x14ac:dyDescent="0.2">
      <c r="A132" t="s">
        <v>46</v>
      </c>
      <c r="B132" t="s">
        <v>2494</v>
      </c>
      <c r="C132" t="s">
        <v>16</v>
      </c>
      <c r="D132" t="s">
        <v>16</v>
      </c>
      <c r="E132" t="s">
        <v>16</v>
      </c>
      <c r="F132" t="s">
        <v>2495</v>
      </c>
      <c r="G132" t="s">
        <v>16</v>
      </c>
      <c r="H132" t="s">
        <v>16</v>
      </c>
      <c r="I132" t="s">
        <v>2496</v>
      </c>
      <c r="J132" t="s">
        <v>734</v>
      </c>
      <c r="K132" t="s">
        <v>16</v>
      </c>
      <c r="L132" t="s">
        <v>16</v>
      </c>
      <c r="M132" t="s">
        <v>22</v>
      </c>
      <c r="N132" t="s">
        <v>51</v>
      </c>
      <c r="O132" t="s">
        <v>16</v>
      </c>
      <c r="P132" t="s">
        <v>16</v>
      </c>
      <c r="Q132" t="s">
        <v>16</v>
      </c>
      <c r="R132" t="s">
        <v>16</v>
      </c>
      <c r="S132" t="s">
        <v>16</v>
      </c>
      <c r="T132" t="s">
        <v>2497</v>
      </c>
      <c r="U132" t="s">
        <v>2498</v>
      </c>
      <c r="V132" t="s">
        <v>2499</v>
      </c>
      <c r="W132" t="s">
        <v>2500</v>
      </c>
      <c r="X132" t="s">
        <v>2501</v>
      </c>
      <c r="Y132" t="s">
        <v>2502</v>
      </c>
      <c r="Z132" t="s">
        <v>2503</v>
      </c>
      <c r="AA132" t="s">
        <v>2504</v>
      </c>
      <c r="AB132" t="s">
        <v>2505</v>
      </c>
      <c r="AC132" t="s">
        <v>2506</v>
      </c>
      <c r="AD132" t="s">
        <v>2507</v>
      </c>
      <c r="AE132" t="s">
        <v>2508</v>
      </c>
      <c r="AF132" t="s">
        <v>16</v>
      </c>
      <c r="AG132">
        <v>58</v>
      </c>
      <c r="AH132">
        <v>32</v>
      </c>
      <c r="AI132">
        <v>37</v>
      </c>
      <c r="AJ132">
        <v>1</v>
      </c>
      <c r="AK132">
        <v>11</v>
      </c>
      <c r="AL132" t="s">
        <v>745</v>
      </c>
      <c r="AM132" t="s">
        <v>746</v>
      </c>
      <c r="AN132" t="s">
        <v>747</v>
      </c>
      <c r="AO132" t="s">
        <v>748</v>
      </c>
      <c r="AP132" t="s">
        <v>16</v>
      </c>
      <c r="AQ132" t="s">
        <v>16</v>
      </c>
      <c r="AR132" t="s">
        <v>749</v>
      </c>
      <c r="AS132" t="s">
        <v>750</v>
      </c>
      <c r="AT132" t="s">
        <v>135</v>
      </c>
      <c r="AU132">
        <v>2017</v>
      </c>
      <c r="AV132">
        <v>7</v>
      </c>
      <c r="AW132">
        <v>11</v>
      </c>
      <c r="AX132" t="s">
        <v>16</v>
      </c>
      <c r="AY132" t="s">
        <v>16</v>
      </c>
      <c r="AZ132" t="s">
        <v>16</v>
      </c>
      <c r="BA132" t="s">
        <v>16</v>
      </c>
      <c r="BB132">
        <v>3571</v>
      </c>
      <c r="BC132">
        <v>3586</v>
      </c>
      <c r="BD132" t="s">
        <v>16</v>
      </c>
      <c r="BE132" t="s">
        <v>2509</v>
      </c>
      <c r="BF132" t="str">
        <f>HYPERLINK("http://dx.doi.org/10.1534/g3.117.300076","http://dx.doi.org/10.1534/g3.117.300076")</f>
        <v>http://dx.doi.org/10.1534/g3.117.300076</v>
      </c>
      <c r="BG132" t="s">
        <v>16</v>
      </c>
      <c r="BH132" t="s">
        <v>16</v>
      </c>
      <c r="BI132">
        <v>16</v>
      </c>
      <c r="BJ132" t="s">
        <v>339</v>
      </c>
      <c r="BK132" t="s">
        <v>73</v>
      </c>
      <c r="BL132" t="s">
        <v>339</v>
      </c>
      <c r="BM132" t="s">
        <v>2510</v>
      </c>
      <c r="BN132">
        <v>28916649</v>
      </c>
      <c r="BO132" t="s">
        <v>216</v>
      </c>
      <c r="BP132" t="s">
        <v>16</v>
      </c>
      <c r="BQ132" t="s">
        <v>16</v>
      </c>
      <c r="BR132" t="s">
        <v>44</v>
      </c>
      <c r="BS132" t="s">
        <v>2511</v>
      </c>
      <c r="BT132" t="str">
        <f>HYPERLINK("https%3A%2F%2Fwww.webofscience.com%2Fwos%2Fwoscc%2Ffull-record%2FWOS:000414469000002","View Full Record in Web of Science")</f>
        <v>View Full Record in Web of Science</v>
      </c>
    </row>
    <row r="133" spans="1:72" x14ac:dyDescent="0.2">
      <c r="A133" t="s">
        <v>46</v>
      </c>
      <c r="B133" t="s">
        <v>2512</v>
      </c>
      <c r="C133" t="s">
        <v>16</v>
      </c>
      <c r="D133" t="s">
        <v>16</v>
      </c>
      <c r="E133" t="s">
        <v>16</v>
      </c>
      <c r="F133" t="s">
        <v>2513</v>
      </c>
      <c r="G133" t="s">
        <v>16</v>
      </c>
      <c r="H133" t="s">
        <v>16</v>
      </c>
      <c r="I133" t="s">
        <v>2514</v>
      </c>
      <c r="J133" t="s">
        <v>117</v>
      </c>
      <c r="K133" t="s">
        <v>16</v>
      </c>
      <c r="L133" t="s">
        <v>16</v>
      </c>
      <c r="M133" t="s">
        <v>22</v>
      </c>
      <c r="N133" t="s">
        <v>51</v>
      </c>
      <c r="O133" t="s">
        <v>16</v>
      </c>
      <c r="P133" t="s">
        <v>16</v>
      </c>
      <c r="Q133" t="s">
        <v>16</v>
      </c>
      <c r="R133" t="s">
        <v>16</v>
      </c>
      <c r="S133" t="s">
        <v>16</v>
      </c>
      <c r="T133" t="s">
        <v>16</v>
      </c>
      <c r="U133" t="s">
        <v>2515</v>
      </c>
      <c r="V133" t="s">
        <v>2516</v>
      </c>
      <c r="W133" t="s">
        <v>2517</v>
      </c>
      <c r="X133" t="s">
        <v>16</v>
      </c>
      <c r="Y133" t="s">
        <v>2518</v>
      </c>
      <c r="Z133" t="s">
        <v>1491</v>
      </c>
      <c r="AA133" t="s">
        <v>16</v>
      </c>
      <c r="AB133" t="s">
        <v>16</v>
      </c>
      <c r="AC133" t="s">
        <v>16</v>
      </c>
      <c r="AD133" t="s">
        <v>16</v>
      </c>
      <c r="AE133" t="s">
        <v>16</v>
      </c>
      <c r="AF133" t="s">
        <v>16</v>
      </c>
      <c r="AG133">
        <v>51</v>
      </c>
      <c r="AH133">
        <v>7</v>
      </c>
      <c r="AI133">
        <v>10</v>
      </c>
      <c r="AJ133">
        <v>0</v>
      </c>
      <c r="AK133">
        <v>41</v>
      </c>
      <c r="AL133" t="s">
        <v>128</v>
      </c>
      <c r="AM133" t="s">
        <v>129</v>
      </c>
      <c r="AN133" t="s">
        <v>130</v>
      </c>
      <c r="AO133" t="s">
        <v>131</v>
      </c>
      <c r="AP133" t="s">
        <v>132</v>
      </c>
      <c r="AQ133" t="s">
        <v>16</v>
      </c>
      <c r="AR133" t="s">
        <v>133</v>
      </c>
      <c r="AS133" t="s">
        <v>134</v>
      </c>
      <c r="AT133" t="s">
        <v>135</v>
      </c>
      <c r="AU133">
        <v>2013</v>
      </c>
      <c r="AV133">
        <v>126</v>
      </c>
      <c r="AW133">
        <v>11</v>
      </c>
      <c r="AX133" t="s">
        <v>16</v>
      </c>
      <c r="AY133" t="s">
        <v>16</v>
      </c>
      <c r="AZ133" t="s">
        <v>16</v>
      </c>
      <c r="BA133" t="s">
        <v>16</v>
      </c>
      <c r="BB133">
        <v>2907</v>
      </c>
      <c r="BC133">
        <v>2920</v>
      </c>
      <c r="BD133" t="s">
        <v>16</v>
      </c>
      <c r="BE133" t="s">
        <v>2519</v>
      </c>
      <c r="BF133" t="str">
        <f>HYPERLINK("http://dx.doi.org/10.1007/s00122-013-2182-x","http://dx.doi.org/10.1007/s00122-013-2182-x")</f>
        <v>http://dx.doi.org/10.1007/s00122-013-2182-x</v>
      </c>
      <c r="BG133" t="s">
        <v>16</v>
      </c>
      <c r="BH133" t="s">
        <v>16</v>
      </c>
      <c r="BI133">
        <v>14</v>
      </c>
      <c r="BJ133" t="s">
        <v>296</v>
      </c>
      <c r="BK133" t="s">
        <v>73</v>
      </c>
      <c r="BL133" t="s">
        <v>137</v>
      </c>
      <c r="BM133" t="s">
        <v>2520</v>
      </c>
      <c r="BN133">
        <v>23982592</v>
      </c>
      <c r="BO133" t="s">
        <v>16</v>
      </c>
      <c r="BP133" t="s">
        <v>16</v>
      </c>
      <c r="BQ133" t="s">
        <v>16</v>
      </c>
      <c r="BR133" t="s">
        <v>44</v>
      </c>
      <c r="BS133" t="s">
        <v>2521</v>
      </c>
      <c r="BT133" t="str">
        <f>HYPERLINK("https%3A%2F%2Fwww.webofscience.com%2Fwos%2Fwoscc%2Ffull-record%2FWOS:000326119700017","View Full Record in Web of Science")</f>
        <v>View Full Record in Web of Science</v>
      </c>
    </row>
    <row r="134" spans="1:72" x14ac:dyDescent="0.2">
      <c r="A134" t="s">
        <v>46</v>
      </c>
      <c r="B134" t="s">
        <v>2522</v>
      </c>
      <c r="C134" t="s">
        <v>16</v>
      </c>
      <c r="D134" t="s">
        <v>16</v>
      </c>
      <c r="E134" t="s">
        <v>16</v>
      </c>
      <c r="F134" t="s">
        <v>2523</v>
      </c>
      <c r="G134" t="s">
        <v>16</v>
      </c>
      <c r="H134" t="s">
        <v>16</v>
      </c>
      <c r="I134" t="s">
        <v>2524</v>
      </c>
      <c r="J134" t="s">
        <v>734</v>
      </c>
      <c r="K134" t="s">
        <v>16</v>
      </c>
      <c r="L134" t="s">
        <v>16</v>
      </c>
      <c r="M134" t="s">
        <v>22</v>
      </c>
      <c r="N134" t="s">
        <v>51</v>
      </c>
      <c r="O134" t="s">
        <v>16</v>
      </c>
      <c r="P134" t="s">
        <v>16</v>
      </c>
      <c r="Q134" t="s">
        <v>16</v>
      </c>
      <c r="R134" t="s">
        <v>16</v>
      </c>
      <c r="S134" t="s">
        <v>16</v>
      </c>
      <c r="T134" t="s">
        <v>2525</v>
      </c>
      <c r="U134" t="s">
        <v>2526</v>
      </c>
      <c r="V134" t="s">
        <v>2527</v>
      </c>
      <c r="W134" t="s">
        <v>2528</v>
      </c>
      <c r="X134" t="s">
        <v>2529</v>
      </c>
      <c r="Y134" t="s">
        <v>2530</v>
      </c>
      <c r="Z134" t="s">
        <v>2531</v>
      </c>
      <c r="AA134" t="s">
        <v>2532</v>
      </c>
      <c r="AB134" t="s">
        <v>2533</v>
      </c>
      <c r="AC134" t="s">
        <v>2534</v>
      </c>
      <c r="AD134" t="s">
        <v>2535</v>
      </c>
      <c r="AE134" t="s">
        <v>2536</v>
      </c>
      <c r="AF134" t="s">
        <v>16</v>
      </c>
      <c r="AG134">
        <v>38</v>
      </c>
      <c r="AH134">
        <v>10</v>
      </c>
      <c r="AI134">
        <v>10</v>
      </c>
      <c r="AJ134">
        <v>1</v>
      </c>
      <c r="AK134">
        <v>11</v>
      </c>
      <c r="AL134" t="s">
        <v>745</v>
      </c>
      <c r="AM134" t="s">
        <v>746</v>
      </c>
      <c r="AN134" t="s">
        <v>747</v>
      </c>
      <c r="AO134" t="s">
        <v>748</v>
      </c>
      <c r="AP134" t="s">
        <v>16</v>
      </c>
      <c r="AQ134" t="s">
        <v>16</v>
      </c>
      <c r="AR134" t="s">
        <v>749</v>
      </c>
      <c r="AS134" t="s">
        <v>750</v>
      </c>
      <c r="AT134" t="s">
        <v>1533</v>
      </c>
      <c r="AU134">
        <v>2019</v>
      </c>
      <c r="AV134">
        <v>9</v>
      </c>
      <c r="AW134">
        <v>2</v>
      </c>
      <c r="AX134" t="s">
        <v>16</v>
      </c>
      <c r="AY134" t="s">
        <v>16</v>
      </c>
      <c r="AZ134" t="s">
        <v>16</v>
      </c>
      <c r="BA134" t="s">
        <v>16</v>
      </c>
      <c r="BB134">
        <v>327</v>
      </c>
      <c r="BC134">
        <v>334</v>
      </c>
      <c r="BD134" t="s">
        <v>16</v>
      </c>
      <c r="BE134" t="s">
        <v>2537</v>
      </c>
      <c r="BF134" t="str">
        <f>HYPERLINK("http://dx.doi.org/10.1534/g3.118.200942","http://dx.doi.org/10.1534/g3.118.200942")</f>
        <v>http://dx.doi.org/10.1534/g3.118.200942</v>
      </c>
      <c r="BG134" t="s">
        <v>16</v>
      </c>
      <c r="BH134" t="s">
        <v>16</v>
      </c>
      <c r="BI134">
        <v>8</v>
      </c>
      <c r="BJ134" t="s">
        <v>339</v>
      </c>
      <c r="BK134" t="s">
        <v>73</v>
      </c>
      <c r="BL134" t="s">
        <v>339</v>
      </c>
      <c r="BM134" t="s">
        <v>2538</v>
      </c>
      <c r="BN134">
        <v>30573468</v>
      </c>
      <c r="BO134" t="s">
        <v>216</v>
      </c>
      <c r="BP134" t="s">
        <v>16</v>
      </c>
      <c r="BQ134" t="s">
        <v>16</v>
      </c>
      <c r="BR134" t="s">
        <v>44</v>
      </c>
      <c r="BS134" t="s">
        <v>2539</v>
      </c>
      <c r="BT134" t="str">
        <f>HYPERLINK("https%3A%2F%2Fwww.webofscience.com%2Fwos%2Fwoscc%2Ffull-record%2FWOS:000460952700002","View Full Record in Web of Science")</f>
        <v>View Full Record in Web of Science</v>
      </c>
    </row>
    <row r="135" spans="1:72" x14ac:dyDescent="0.2">
      <c r="A135" t="s">
        <v>46</v>
      </c>
      <c r="B135" t="s">
        <v>2540</v>
      </c>
      <c r="C135" t="s">
        <v>16</v>
      </c>
      <c r="D135" t="s">
        <v>16</v>
      </c>
      <c r="E135" t="s">
        <v>16</v>
      </c>
      <c r="F135" t="s">
        <v>2540</v>
      </c>
      <c r="G135" t="s">
        <v>16</v>
      </c>
      <c r="H135" t="s">
        <v>16</v>
      </c>
      <c r="I135" t="s">
        <v>2541</v>
      </c>
      <c r="J135" t="s">
        <v>82</v>
      </c>
      <c r="K135" t="s">
        <v>16</v>
      </c>
      <c r="L135" t="s">
        <v>16</v>
      </c>
      <c r="M135" t="s">
        <v>22</v>
      </c>
      <c r="N135" t="s">
        <v>51</v>
      </c>
      <c r="O135" t="s">
        <v>16</v>
      </c>
      <c r="P135" t="s">
        <v>16</v>
      </c>
      <c r="Q135" t="s">
        <v>16</v>
      </c>
      <c r="R135" t="s">
        <v>16</v>
      </c>
      <c r="S135" t="s">
        <v>16</v>
      </c>
      <c r="T135" t="s">
        <v>2542</v>
      </c>
      <c r="U135" t="s">
        <v>2543</v>
      </c>
      <c r="V135" t="s">
        <v>2544</v>
      </c>
      <c r="W135" t="s">
        <v>155</v>
      </c>
      <c r="X135" t="s">
        <v>156</v>
      </c>
      <c r="Y135" t="s">
        <v>157</v>
      </c>
      <c r="Z135" t="s">
        <v>16</v>
      </c>
      <c r="AA135" t="s">
        <v>2545</v>
      </c>
      <c r="AB135" t="s">
        <v>2546</v>
      </c>
      <c r="AC135" t="s">
        <v>16</v>
      </c>
      <c r="AD135" t="s">
        <v>16</v>
      </c>
      <c r="AE135" t="s">
        <v>16</v>
      </c>
      <c r="AF135" t="s">
        <v>16</v>
      </c>
      <c r="AG135">
        <v>15</v>
      </c>
      <c r="AH135">
        <v>54</v>
      </c>
      <c r="AI135">
        <v>58</v>
      </c>
      <c r="AJ135">
        <v>0</v>
      </c>
      <c r="AK135">
        <v>4</v>
      </c>
      <c r="AL135" t="s">
        <v>63</v>
      </c>
      <c r="AM135" t="s">
        <v>64</v>
      </c>
      <c r="AN135" t="s">
        <v>65</v>
      </c>
      <c r="AO135" t="s">
        <v>316</v>
      </c>
      <c r="AP135" t="s">
        <v>2547</v>
      </c>
      <c r="AQ135" t="s">
        <v>16</v>
      </c>
      <c r="AR135" t="s">
        <v>82</v>
      </c>
      <c r="AS135" t="s">
        <v>317</v>
      </c>
      <c r="AT135" t="s">
        <v>623</v>
      </c>
      <c r="AU135">
        <v>1999</v>
      </c>
      <c r="AV135">
        <v>118</v>
      </c>
      <c r="AW135">
        <v>1</v>
      </c>
      <c r="AX135" t="s">
        <v>16</v>
      </c>
      <c r="AY135" t="s">
        <v>16</v>
      </c>
      <c r="AZ135" t="s">
        <v>16</v>
      </c>
      <c r="BA135" t="s">
        <v>16</v>
      </c>
      <c r="BB135">
        <v>17</v>
      </c>
      <c r="BC135">
        <v>28</v>
      </c>
      <c r="BD135" t="s">
        <v>16</v>
      </c>
      <c r="BE135" t="s">
        <v>2548</v>
      </c>
      <c r="BF135" t="str">
        <f>HYPERLINK("http://dx.doi.org/10.1046/j.1439-0523.1999.118001017.x","http://dx.doi.org/10.1046/j.1439-0523.1999.118001017.x")</f>
        <v>http://dx.doi.org/10.1046/j.1439-0523.1999.118001017.x</v>
      </c>
      <c r="BG135" t="s">
        <v>16</v>
      </c>
      <c r="BH135" t="s">
        <v>16</v>
      </c>
      <c r="BI135">
        <v>12</v>
      </c>
      <c r="BJ135" t="s">
        <v>296</v>
      </c>
      <c r="BK135" t="s">
        <v>73</v>
      </c>
      <c r="BL135" t="s">
        <v>320</v>
      </c>
      <c r="BM135" t="s">
        <v>2549</v>
      </c>
      <c r="BN135" t="s">
        <v>16</v>
      </c>
      <c r="BO135" t="s">
        <v>16</v>
      </c>
      <c r="BP135" t="s">
        <v>16</v>
      </c>
      <c r="BQ135" t="s">
        <v>16</v>
      </c>
      <c r="BR135" t="s">
        <v>44</v>
      </c>
      <c r="BS135" t="s">
        <v>2550</v>
      </c>
      <c r="BT135" t="str">
        <f>HYPERLINK("https%3A%2F%2Fwww.webofscience.com%2Fwos%2Fwoscc%2Ffull-record%2FWOS:000079902700002","View Full Record in Web of Science")</f>
        <v>View Full Record in Web of Science</v>
      </c>
    </row>
    <row r="136" spans="1:72" x14ac:dyDescent="0.2">
      <c r="A136" t="s">
        <v>46</v>
      </c>
      <c r="B136" t="s">
        <v>2551</v>
      </c>
      <c r="C136" t="s">
        <v>16</v>
      </c>
      <c r="D136" t="s">
        <v>16</v>
      </c>
      <c r="E136" t="s">
        <v>16</v>
      </c>
      <c r="F136" t="s">
        <v>2552</v>
      </c>
      <c r="G136" t="s">
        <v>16</v>
      </c>
      <c r="H136" t="s">
        <v>16</v>
      </c>
      <c r="I136" t="s">
        <v>2553</v>
      </c>
      <c r="J136" t="s">
        <v>1498</v>
      </c>
      <c r="K136" t="s">
        <v>16</v>
      </c>
      <c r="L136" t="s">
        <v>16</v>
      </c>
      <c r="M136" t="s">
        <v>22</v>
      </c>
      <c r="N136" t="s">
        <v>51</v>
      </c>
      <c r="O136" t="s">
        <v>16</v>
      </c>
      <c r="P136" t="s">
        <v>16</v>
      </c>
      <c r="Q136" t="s">
        <v>16</v>
      </c>
      <c r="R136" t="s">
        <v>16</v>
      </c>
      <c r="S136" t="s">
        <v>16</v>
      </c>
      <c r="T136" t="s">
        <v>2554</v>
      </c>
      <c r="U136" t="s">
        <v>2555</v>
      </c>
      <c r="V136" t="s">
        <v>2556</v>
      </c>
      <c r="W136" t="s">
        <v>2557</v>
      </c>
      <c r="X136" t="s">
        <v>2558</v>
      </c>
      <c r="Y136" t="s">
        <v>2559</v>
      </c>
      <c r="Z136" t="s">
        <v>2560</v>
      </c>
      <c r="AA136" t="s">
        <v>1246</v>
      </c>
      <c r="AB136" t="s">
        <v>2561</v>
      </c>
      <c r="AC136" t="s">
        <v>16</v>
      </c>
      <c r="AD136" t="s">
        <v>16</v>
      </c>
      <c r="AE136" t="s">
        <v>16</v>
      </c>
      <c r="AF136" t="s">
        <v>16</v>
      </c>
      <c r="AG136">
        <v>107</v>
      </c>
      <c r="AH136">
        <v>24</v>
      </c>
      <c r="AI136">
        <v>27</v>
      </c>
      <c r="AJ136">
        <v>0</v>
      </c>
      <c r="AK136">
        <v>5</v>
      </c>
      <c r="AL136" t="s">
        <v>720</v>
      </c>
      <c r="AM136" t="s">
        <v>721</v>
      </c>
      <c r="AN136" t="s">
        <v>722</v>
      </c>
      <c r="AO136" t="s">
        <v>16</v>
      </c>
      <c r="AP136" t="s">
        <v>1511</v>
      </c>
      <c r="AQ136" t="s">
        <v>16</v>
      </c>
      <c r="AR136" t="s">
        <v>1498</v>
      </c>
      <c r="AS136" t="s">
        <v>1512</v>
      </c>
      <c r="AT136" t="s">
        <v>16</v>
      </c>
      <c r="AU136">
        <v>2021</v>
      </c>
      <c r="AV136">
        <v>3</v>
      </c>
      <c r="AW136">
        <v>1</v>
      </c>
      <c r="AX136" t="s">
        <v>16</v>
      </c>
      <c r="AY136" t="s">
        <v>16</v>
      </c>
      <c r="AZ136" t="s">
        <v>16</v>
      </c>
      <c r="BA136" t="s">
        <v>16</v>
      </c>
      <c r="BB136" t="s">
        <v>16</v>
      </c>
      <c r="BC136" t="s">
        <v>16</v>
      </c>
      <c r="BD136" t="s">
        <v>2562</v>
      </c>
      <c r="BE136" t="s">
        <v>2563</v>
      </c>
      <c r="BF136" t="str">
        <f>HYPERLINK("http://dx.doi.org/10.1093/insilicoplants/diab002","http://dx.doi.org/10.1093/insilicoplants/diab002")</f>
        <v>http://dx.doi.org/10.1093/insilicoplants/diab002</v>
      </c>
      <c r="BG136" t="s">
        <v>16</v>
      </c>
      <c r="BH136" t="s">
        <v>1580</v>
      </c>
      <c r="BI136">
        <v>19</v>
      </c>
      <c r="BJ136" t="s">
        <v>296</v>
      </c>
      <c r="BK136" t="s">
        <v>603</v>
      </c>
      <c r="BL136" t="s">
        <v>1515</v>
      </c>
      <c r="BM136" t="s">
        <v>1516</v>
      </c>
      <c r="BN136" t="s">
        <v>16</v>
      </c>
      <c r="BO136" t="s">
        <v>552</v>
      </c>
      <c r="BP136" t="s">
        <v>16</v>
      </c>
      <c r="BQ136" t="s">
        <v>16</v>
      </c>
      <c r="BR136" t="s">
        <v>44</v>
      </c>
      <c r="BS136" t="s">
        <v>2564</v>
      </c>
      <c r="BT136" t="str">
        <f>HYPERLINK("https%3A%2F%2Fwww.webofscience.com%2Fwos%2Fwoscc%2Ffull-record%2FWOS:000729238000009","View Full Record in Web of Science")</f>
        <v>View Full Record in Web of Science</v>
      </c>
    </row>
    <row r="137" spans="1:72" x14ac:dyDescent="0.2">
      <c r="A137" t="s">
        <v>46</v>
      </c>
      <c r="B137" t="s">
        <v>2565</v>
      </c>
      <c r="C137" t="s">
        <v>16</v>
      </c>
      <c r="D137" t="s">
        <v>16</v>
      </c>
      <c r="E137" t="s">
        <v>16</v>
      </c>
      <c r="F137" t="s">
        <v>2565</v>
      </c>
      <c r="G137" t="s">
        <v>16</v>
      </c>
      <c r="H137" t="s">
        <v>16</v>
      </c>
      <c r="I137" t="s">
        <v>2566</v>
      </c>
      <c r="J137" t="s">
        <v>346</v>
      </c>
      <c r="K137" t="s">
        <v>16</v>
      </c>
      <c r="L137" t="s">
        <v>16</v>
      </c>
      <c r="M137" t="s">
        <v>22</v>
      </c>
      <c r="N137" t="s">
        <v>51</v>
      </c>
      <c r="O137" t="s">
        <v>16</v>
      </c>
      <c r="P137" t="s">
        <v>16</v>
      </c>
      <c r="Q137" t="s">
        <v>16</v>
      </c>
      <c r="R137" t="s">
        <v>16</v>
      </c>
      <c r="S137" t="s">
        <v>16</v>
      </c>
      <c r="T137" t="s">
        <v>2567</v>
      </c>
      <c r="U137" t="s">
        <v>2568</v>
      </c>
      <c r="V137" t="s">
        <v>2569</v>
      </c>
      <c r="W137" t="s">
        <v>2570</v>
      </c>
      <c r="X137" t="s">
        <v>2571</v>
      </c>
      <c r="Y137" t="s">
        <v>2572</v>
      </c>
      <c r="Z137" t="s">
        <v>2573</v>
      </c>
      <c r="AA137" t="s">
        <v>16</v>
      </c>
      <c r="AB137" t="s">
        <v>1006</v>
      </c>
      <c r="AC137" t="s">
        <v>16</v>
      </c>
      <c r="AD137" t="s">
        <v>16</v>
      </c>
      <c r="AE137" t="s">
        <v>16</v>
      </c>
      <c r="AF137" t="s">
        <v>16</v>
      </c>
      <c r="AG137">
        <v>30</v>
      </c>
      <c r="AH137">
        <v>77</v>
      </c>
      <c r="AI137">
        <v>90</v>
      </c>
      <c r="AJ137">
        <v>0</v>
      </c>
      <c r="AK137">
        <v>25</v>
      </c>
      <c r="AL137" t="s">
        <v>128</v>
      </c>
      <c r="AM137" t="s">
        <v>225</v>
      </c>
      <c r="AN137" t="s">
        <v>357</v>
      </c>
      <c r="AO137" t="s">
        <v>358</v>
      </c>
      <c r="AP137" t="s">
        <v>16</v>
      </c>
      <c r="AQ137" t="s">
        <v>16</v>
      </c>
      <c r="AR137" t="s">
        <v>360</v>
      </c>
      <c r="AS137" t="s">
        <v>361</v>
      </c>
      <c r="AT137" t="s">
        <v>419</v>
      </c>
      <c r="AU137">
        <v>2005</v>
      </c>
      <c r="AV137">
        <v>16</v>
      </c>
      <c r="AW137">
        <v>1</v>
      </c>
      <c r="AX137" t="s">
        <v>16</v>
      </c>
      <c r="AY137" t="s">
        <v>16</v>
      </c>
      <c r="AZ137" t="s">
        <v>16</v>
      </c>
      <c r="BA137" t="s">
        <v>16</v>
      </c>
      <c r="BB137">
        <v>67</v>
      </c>
      <c r="BC137">
        <v>78</v>
      </c>
      <c r="BD137" t="s">
        <v>16</v>
      </c>
      <c r="BE137" t="s">
        <v>2574</v>
      </c>
      <c r="BF137" t="str">
        <f>HYPERLINK("http://dx.doi.org/10.1007/s11032-005-4785-7","http://dx.doi.org/10.1007/s11032-005-4785-7")</f>
        <v>http://dx.doi.org/10.1007/s11032-005-4785-7</v>
      </c>
      <c r="BG137" t="s">
        <v>16</v>
      </c>
      <c r="BH137" t="s">
        <v>16</v>
      </c>
      <c r="BI137">
        <v>12</v>
      </c>
      <c r="BJ137" t="s">
        <v>296</v>
      </c>
      <c r="BK137" t="s">
        <v>73</v>
      </c>
      <c r="BL137" t="s">
        <v>137</v>
      </c>
      <c r="BM137" t="s">
        <v>2575</v>
      </c>
      <c r="BN137" t="s">
        <v>16</v>
      </c>
      <c r="BO137" t="s">
        <v>16</v>
      </c>
      <c r="BP137" t="s">
        <v>16</v>
      </c>
      <c r="BQ137" t="s">
        <v>16</v>
      </c>
      <c r="BR137" t="s">
        <v>44</v>
      </c>
      <c r="BS137" t="s">
        <v>2576</v>
      </c>
      <c r="BT137" t="str">
        <f>HYPERLINK("https%3A%2F%2Fwww.webofscience.com%2Fwos%2Fwoscc%2Ffull-record%2FWOS:000231856900007","View Full Record in Web of Science")</f>
        <v>View Full Record in Web of Science</v>
      </c>
    </row>
    <row r="138" spans="1:72" x14ac:dyDescent="0.2">
      <c r="A138" t="s">
        <v>46</v>
      </c>
      <c r="B138" t="s">
        <v>2577</v>
      </c>
      <c r="C138" t="s">
        <v>16</v>
      </c>
      <c r="D138" t="s">
        <v>16</v>
      </c>
      <c r="E138" t="s">
        <v>16</v>
      </c>
      <c r="F138" t="s">
        <v>2578</v>
      </c>
      <c r="G138" t="s">
        <v>16</v>
      </c>
      <c r="H138" t="s">
        <v>16</v>
      </c>
      <c r="I138" t="s">
        <v>2579</v>
      </c>
      <c r="J138" t="s">
        <v>2580</v>
      </c>
      <c r="K138" t="s">
        <v>16</v>
      </c>
      <c r="L138" t="s">
        <v>16</v>
      </c>
      <c r="M138" t="s">
        <v>22</v>
      </c>
      <c r="N138" t="s">
        <v>51</v>
      </c>
      <c r="O138" t="s">
        <v>16</v>
      </c>
      <c r="P138" t="s">
        <v>16</v>
      </c>
      <c r="Q138" t="s">
        <v>16</v>
      </c>
      <c r="R138" t="s">
        <v>16</v>
      </c>
      <c r="S138" t="s">
        <v>16</v>
      </c>
      <c r="T138" t="s">
        <v>2581</v>
      </c>
      <c r="U138" t="s">
        <v>2582</v>
      </c>
      <c r="V138" t="s">
        <v>2583</v>
      </c>
      <c r="W138" t="s">
        <v>2584</v>
      </c>
      <c r="X138" t="s">
        <v>1440</v>
      </c>
      <c r="Y138" t="s">
        <v>2585</v>
      </c>
      <c r="Z138" t="s">
        <v>2586</v>
      </c>
      <c r="AA138" t="s">
        <v>2587</v>
      </c>
      <c r="AB138" t="s">
        <v>2588</v>
      </c>
      <c r="AC138" t="s">
        <v>2589</v>
      </c>
      <c r="AD138" t="s">
        <v>2590</v>
      </c>
      <c r="AE138" t="s">
        <v>2591</v>
      </c>
      <c r="AF138" t="s">
        <v>16</v>
      </c>
      <c r="AG138">
        <v>54</v>
      </c>
      <c r="AH138">
        <v>19</v>
      </c>
      <c r="AI138">
        <v>21</v>
      </c>
      <c r="AJ138">
        <v>0</v>
      </c>
      <c r="AK138">
        <v>18</v>
      </c>
      <c r="AL138" t="s">
        <v>2592</v>
      </c>
      <c r="AM138" t="s">
        <v>2593</v>
      </c>
      <c r="AN138" t="s">
        <v>2594</v>
      </c>
      <c r="AO138" t="s">
        <v>2595</v>
      </c>
      <c r="AP138" t="s">
        <v>2596</v>
      </c>
      <c r="AQ138" t="s">
        <v>16</v>
      </c>
      <c r="AR138" t="s">
        <v>2597</v>
      </c>
      <c r="AS138" t="s">
        <v>2598</v>
      </c>
      <c r="AT138" t="s">
        <v>16</v>
      </c>
      <c r="AU138">
        <v>2015</v>
      </c>
      <c r="AV138">
        <v>65</v>
      </c>
      <c r="AW138" t="s">
        <v>16</v>
      </c>
      <c r="AX138" t="s">
        <v>16</v>
      </c>
      <c r="AY138" t="s">
        <v>16</v>
      </c>
      <c r="AZ138">
        <v>31</v>
      </c>
      <c r="BA138" t="s">
        <v>16</v>
      </c>
      <c r="BB138">
        <v>221</v>
      </c>
      <c r="BC138">
        <v>236</v>
      </c>
      <c r="BD138" t="s">
        <v>16</v>
      </c>
      <c r="BE138" t="s">
        <v>2599</v>
      </c>
      <c r="BF138" t="str">
        <f>HYPERLINK("http://dx.doi.org/10.3354/cr01317","http://dx.doi.org/10.3354/cr01317")</f>
        <v>http://dx.doi.org/10.3354/cr01317</v>
      </c>
      <c r="BG138" t="s">
        <v>16</v>
      </c>
      <c r="BH138" t="s">
        <v>16</v>
      </c>
      <c r="BI138">
        <v>16</v>
      </c>
      <c r="BJ138" t="s">
        <v>296</v>
      </c>
      <c r="BK138" t="s">
        <v>73</v>
      </c>
      <c r="BL138" t="s">
        <v>2600</v>
      </c>
      <c r="BM138" t="s">
        <v>2601</v>
      </c>
      <c r="BN138" t="s">
        <v>16</v>
      </c>
      <c r="BO138" t="s">
        <v>729</v>
      </c>
      <c r="BP138" t="s">
        <v>16</v>
      </c>
      <c r="BQ138" t="s">
        <v>16</v>
      </c>
      <c r="BR138" t="s">
        <v>44</v>
      </c>
      <c r="BS138" t="s">
        <v>2602</v>
      </c>
      <c r="BT138" t="str">
        <f>HYPERLINK("https%3A%2F%2Fwww.webofscience.com%2Fwos%2Fwoscc%2Ffull-record%2FWOS:000369420900015","View Full Record in Web of Science")</f>
        <v>View Full Record in Web of Science</v>
      </c>
    </row>
    <row r="139" spans="1:72" x14ac:dyDescent="0.2">
      <c r="A139" t="s">
        <v>46</v>
      </c>
      <c r="B139" t="s">
        <v>2603</v>
      </c>
      <c r="C139" t="s">
        <v>16</v>
      </c>
      <c r="D139" t="s">
        <v>16</v>
      </c>
      <c r="E139" t="s">
        <v>16</v>
      </c>
      <c r="F139" t="s">
        <v>2604</v>
      </c>
      <c r="G139" t="s">
        <v>16</v>
      </c>
      <c r="H139" t="s">
        <v>16</v>
      </c>
      <c r="I139" t="s">
        <v>2605</v>
      </c>
      <c r="J139" t="s">
        <v>2606</v>
      </c>
      <c r="K139" t="s">
        <v>16</v>
      </c>
      <c r="L139" t="s">
        <v>16</v>
      </c>
      <c r="M139" t="s">
        <v>22</v>
      </c>
      <c r="N139" t="s">
        <v>51</v>
      </c>
      <c r="O139" t="s">
        <v>16</v>
      </c>
      <c r="P139" t="s">
        <v>16</v>
      </c>
      <c r="Q139" t="s">
        <v>16</v>
      </c>
      <c r="R139" t="s">
        <v>16</v>
      </c>
      <c r="S139" t="s">
        <v>16</v>
      </c>
      <c r="T139" t="s">
        <v>2607</v>
      </c>
      <c r="U139" t="s">
        <v>2608</v>
      </c>
      <c r="V139" t="s">
        <v>2609</v>
      </c>
      <c r="W139" t="s">
        <v>2610</v>
      </c>
      <c r="X139" t="s">
        <v>2611</v>
      </c>
      <c r="Y139" t="s">
        <v>2612</v>
      </c>
      <c r="Z139" t="s">
        <v>2613</v>
      </c>
      <c r="AA139" t="s">
        <v>2614</v>
      </c>
      <c r="AB139" t="s">
        <v>2615</v>
      </c>
      <c r="AC139" t="s">
        <v>2616</v>
      </c>
      <c r="AD139" t="s">
        <v>2617</v>
      </c>
      <c r="AE139" t="s">
        <v>2618</v>
      </c>
      <c r="AF139" t="s">
        <v>16</v>
      </c>
      <c r="AG139">
        <v>35</v>
      </c>
      <c r="AH139">
        <v>42</v>
      </c>
      <c r="AI139">
        <v>48</v>
      </c>
      <c r="AJ139">
        <v>0</v>
      </c>
      <c r="AK139">
        <v>25</v>
      </c>
      <c r="AL139" t="s">
        <v>128</v>
      </c>
      <c r="AM139" t="s">
        <v>225</v>
      </c>
      <c r="AN139" t="s">
        <v>357</v>
      </c>
      <c r="AO139" t="s">
        <v>2619</v>
      </c>
      <c r="AP139" t="s">
        <v>2620</v>
      </c>
      <c r="AQ139" t="s">
        <v>16</v>
      </c>
      <c r="AR139" t="s">
        <v>2606</v>
      </c>
      <c r="AS139" t="s">
        <v>2621</v>
      </c>
      <c r="AT139" t="s">
        <v>70</v>
      </c>
      <c r="AU139">
        <v>2018</v>
      </c>
      <c r="AV139">
        <v>146</v>
      </c>
      <c r="AW139" t="s">
        <v>1296</v>
      </c>
      <c r="AX139" t="s">
        <v>16</v>
      </c>
      <c r="AY139" t="s">
        <v>16</v>
      </c>
      <c r="AZ139" t="s">
        <v>188</v>
      </c>
      <c r="BA139" t="s">
        <v>16</v>
      </c>
      <c r="BB139">
        <v>247</v>
      </c>
      <c r="BC139">
        <v>261</v>
      </c>
      <c r="BD139" t="s">
        <v>16</v>
      </c>
      <c r="BE139" t="s">
        <v>2622</v>
      </c>
      <c r="BF139" t="str">
        <f>HYPERLINK("http://dx.doi.org/10.1007/s10584-017-1950-z","http://dx.doi.org/10.1007/s10584-017-1950-z")</f>
        <v>http://dx.doi.org/10.1007/s10584-017-1950-z</v>
      </c>
      <c r="BG139" t="s">
        <v>16</v>
      </c>
      <c r="BH139" t="s">
        <v>16</v>
      </c>
      <c r="BI139">
        <v>15</v>
      </c>
      <c r="BJ139" t="s">
        <v>296</v>
      </c>
      <c r="BK139" t="s">
        <v>73</v>
      </c>
      <c r="BL139" t="s">
        <v>2600</v>
      </c>
      <c r="BM139" t="s">
        <v>2623</v>
      </c>
      <c r="BN139" t="s">
        <v>16</v>
      </c>
      <c r="BO139" t="s">
        <v>772</v>
      </c>
      <c r="BP139" t="s">
        <v>16</v>
      </c>
      <c r="BQ139" t="s">
        <v>16</v>
      </c>
      <c r="BR139" t="s">
        <v>44</v>
      </c>
      <c r="BS139" t="s">
        <v>2624</v>
      </c>
      <c r="BT139" t="str">
        <f>HYPERLINK("https%3A%2F%2Fwww.webofscience.com%2Fwos%2Fwoscc%2Ffull-record%2FWOS:000423707600020","View Full Record in Web of Science")</f>
        <v>View Full Record in Web of Science</v>
      </c>
    </row>
    <row r="140" spans="1:72" x14ac:dyDescent="0.2">
      <c r="A140" t="s">
        <v>46</v>
      </c>
      <c r="B140" t="s">
        <v>2625</v>
      </c>
      <c r="C140" t="s">
        <v>16</v>
      </c>
      <c r="D140" t="s">
        <v>16</v>
      </c>
      <c r="E140" t="s">
        <v>16</v>
      </c>
      <c r="F140" t="s">
        <v>2626</v>
      </c>
      <c r="G140" t="s">
        <v>16</v>
      </c>
      <c r="H140" t="s">
        <v>16</v>
      </c>
      <c r="I140" t="s">
        <v>2627</v>
      </c>
      <c r="J140" t="s">
        <v>557</v>
      </c>
      <c r="K140" t="s">
        <v>16</v>
      </c>
      <c r="L140" t="s">
        <v>16</v>
      </c>
      <c r="M140" t="s">
        <v>22</v>
      </c>
      <c r="N140" t="s">
        <v>51</v>
      </c>
      <c r="O140" t="s">
        <v>16</v>
      </c>
      <c r="P140" t="s">
        <v>16</v>
      </c>
      <c r="Q140" t="s">
        <v>16</v>
      </c>
      <c r="R140" t="s">
        <v>16</v>
      </c>
      <c r="S140" t="s">
        <v>16</v>
      </c>
      <c r="T140" t="s">
        <v>2628</v>
      </c>
      <c r="U140" t="s">
        <v>2629</v>
      </c>
      <c r="V140" t="s">
        <v>2630</v>
      </c>
      <c r="W140" t="s">
        <v>2631</v>
      </c>
      <c r="X140" t="s">
        <v>2632</v>
      </c>
      <c r="Y140" t="s">
        <v>2633</v>
      </c>
      <c r="Z140" t="s">
        <v>2634</v>
      </c>
      <c r="AA140" t="s">
        <v>2635</v>
      </c>
      <c r="AB140" t="s">
        <v>2636</v>
      </c>
      <c r="AC140" t="s">
        <v>2637</v>
      </c>
      <c r="AD140" t="s">
        <v>2638</v>
      </c>
      <c r="AE140" t="s">
        <v>2639</v>
      </c>
      <c r="AF140" t="s">
        <v>16</v>
      </c>
      <c r="AG140">
        <v>48</v>
      </c>
      <c r="AH140">
        <v>88</v>
      </c>
      <c r="AI140">
        <v>90</v>
      </c>
      <c r="AJ140">
        <v>0</v>
      </c>
      <c r="AK140">
        <v>58</v>
      </c>
      <c r="AL140" t="s">
        <v>1323</v>
      </c>
      <c r="AM140" t="s">
        <v>570</v>
      </c>
      <c r="AN140" t="s">
        <v>1324</v>
      </c>
      <c r="AO140" t="s">
        <v>572</v>
      </c>
      <c r="AP140" t="s">
        <v>16</v>
      </c>
      <c r="AQ140" t="s">
        <v>16</v>
      </c>
      <c r="AR140" t="s">
        <v>574</v>
      </c>
      <c r="AS140" t="s">
        <v>575</v>
      </c>
      <c r="AT140" t="s">
        <v>135</v>
      </c>
      <c r="AU140">
        <v>2011</v>
      </c>
      <c r="AV140">
        <v>35</v>
      </c>
      <c r="AW140">
        <v>4</v>
      </c>
      <c r="AX140" t="s">
        <v>16</v>
      </c>
      <c r="AY140" t="s">
        <v>16</v>
      </c>
      <c r="AZ140" t="s">
        <v>16</v>
      </c>
      <c r="BA140" t="s">
        <v>16</v>
      </c>
      <c r="BB140">
        <v>205</v>
      </c>
      <c r="BC140">
        <v>214</v>
      </c>
      <c r="BD140" t="s">
        <v>16</v>
      </c>
      <c r="BE140" t="s">
        <v>2640</v>
      </c>
      <c r="BF140" t="str">
        <f>HYPERLINK("http://dx.doi.org/10.1016/j.eja.2011.06.003","http://dx.doi.org/10.1016/j.eja.2011.06.003")</f>
        <v>http://dx.doi.org/10.1016/j.eja.2011.06.003</v>
      </c>
      <c r="BG140" t="s">
        <v>16</v>
      </c>
      <c r="BH140" t="s">
        <v>16</v>
      </c>
      <c r="BI140">
        <v>10</v>
      </c>
      <c r="BJ140" t="s">
        <v>40</v>
      </c>
      <c r="BK140" t="s">
        <v>73</v>
      </c>
      <c r="BL140" t="s">
        <v>42</v>
      </c>
      <c r="BM140" t="s">
        <v>2641</v>
      </c>
      <c r="BN140" t="s">
        <v>16</v>
      </c>
      <c r="BO140" t="s">
        <v>16</v>
      </c>
      <c r="BP140" t="s">
        <v>16</v>
      </c>
      <c r="BQ140" t="s">
        <v>16</v>
      </c>
      <c r="BR140" t="s">
        <v>44</v>
      </c>
      <c r="BS140" t="s">
        <v>2642</v>
      </c>
      <c r="BT140" t="str">
        <f>HYPERLINK("https%3A%2F%2Fwww.webofscience.com%2Fwos%2Fwoscc%2Ffull-record%2FWOS:000294657500002","View Full Record in Web of Science")</f>
        <v>View Full Record in Web of Science</v>
      </c>
    </row>
    <row r="141" spans="1:72" x14ac:dyDescent="0.2">
      <c r="A141" t="s">
        <v>46</v>
      </c>
      <c r="B141" t="s">
        <v>2643</v>
      </c>
      <c r="C141" t="s">
        <v>16</v>
      </c>
      <c r="D141" t="s">
        <v>16</v>
      </c>
      <c r="E141" t="s">
        <v>16</v>
      </c>
      <c r="F141" t="s">
        <v>2643</v>
      </c>
      <c r="G141" t="s">
        <v>16</v>
      </c>
      <c r="H141" t="s">
        <v>16</v>
      </c>
      <c r="I141" t="s">
        <v>2644</v>
      </c>
      <c r="J141" t="s">
        <v>326</v>
      </c>
      <c r="K141" t="s">
        <v>16</v>
      </c>
      <c r="L141" t="s">
        <v>16</v>
      </c>
      <c r="M141" t="s">
        <v>22</v>
      </c>
      <c r="N141" t="s">
        <v>51</v>
      </c>
      <c r="O141" t="s">
        <v>16</v>
      </c>
      <c r="P141" t="s">
        <v>16</v>
      </c>
      <c r="Q141" t="s">
        <v>16</v>
      </c>
      <c r="R141" t="s">
        <v>16</v>
      </c>
      <c r="S141" t="s">
        <v>16</v>
      </c>
      <c r="T141" t="s">
        <v>16</v>
      </c>
      <c r="U141" t="s">
        <v>2645</v>
      </c>
      <c r="V141" t="s">
        <v>2646</v>
      </c>
      <c r="W141" t="s">
        <v>2647</v>
      </c>
      <c r="X141" t="s">
        <v>2648</v>
      </c>
      <c r="Y141" t="s">
        <v>16</v>
      </c>
      <c r="Z141" t="s">
        <v>16</v>
      </c>
      <c r="AA141" t="s">
        <v>16</v>
      </c>
      <c r="AB141" t="s">
        <v>16</v>
      </c>
      <c r="AC141" t="s">
        <v>2649</v>
      </c>
      <c r="AD141" t="s">
        <v>2650</v>
      </c>
      <c r="AE141" t="s">
        <v>16</v>
      </c>
      <c r="AF141" t="s">
        <v>16</v>
      </c>
      <c r="AG141">
        <v>14</v>
      </c>
      <c r="AH141">
        <v>602</v>
      </c>
      <c r="AI141">
        <v>758</v>
      </c>
      <c r="AJ141">
        <v>1</v>
      </c>
      <c r="AK141">
        <v>44</v>
      </c>
      <c r="AL141" t="s">
        <v>326</v>
      </c>
      <c r="AM141" t="s">
        <v>2018</v>
      </c>
      <c r="AN141" t="s">
        <v>2651</v>
      </c>
      <c r="AO141" t="s">
        <v>335</v>
      </c>
      <c r="AP141" t="s">
        <v>16</v>
      </c>
      <c r="AQ141" t="s">
        <v>16</v>
      </c>
      <c r="AR141" t="s">
        <v>326</v>
      </c>
      <c r="AS141" t="s">
        <v>337</v>
      </c>
      <c r="AT141" t="s">
        <v>1138</v>
      </c>
      <c r="AU141">
        <v>1995</v>
      </c>
      <c r="AV141">
        <v>140</v>
      </c>
      <c r="AW141">
        <v>3</v>
      </c>
      <c r="AX141" t="s">
        <v>16</v>
      </c>
      <c r="AY141" t="s">
        <v>16</v>
      </c>
      <c r="AZ141" t="s">
        <v>16</v>
      </c>
      <c r="BA141" t="s">
        <v>16</v>
      </c>
      <c r="BB141">
        <v>1111</v>
      </c>
      <c r="BC141">
        <v>1127</v>
      </c>
      <c r="BD141" t="s">
        <v>16</v>
      </c>
      <c r="BE141" t="s">
        <v>16</v>
      </c>
      <c r="BF141" t="s">
        <v>16</v>
      </c>
      <c r="BG141" t="s">
        <v>16</v>
      </c>
      <c r="BH141" t="s">
        <v>16</v>
      </c>
      <c r="BI141">
        <v>17</v>
      </c>
      <c r="BJ141" t="s">
        <v>339</v>
      </c>
      <c r="BK141" t="s">
        <v>73</v>
      </c>
      <c r="BL141" t="s">
        <v>339</v>
      </c>
      <c r="BM141" t="s">
        <v>2652</v>
      </c>
      <c r="BN141">
        <v>7672582</v>
      </c>
      <c r="BO141" t="s">
        <v>16</v>
      </c>
      <c r="BP141" t="s">
        <v>16</v>
      </c>
      <c r="BQ141" t="s">
        <v>16</v>
      </c>
      <c r="BR141" t="s">
        <v>44</v>
      </c>
      <c r="BS141" t="s">
        <v>2653</v>
      </c>
      <c r="BT141" t="str">
        <f>HYPERLINK("https%3A%2F%2Fwww.webofscience.com%2Fwos%2Fwoscc%2Ffull-record%2FWOS:A1995RE86800023","View Full Record in Web of Science")</f>
        <v>View Full Record in Web of Science</v>
      </c>
    </row>
    <row r="142" spans="1:72" x14ac:dyDescent="0.2">
      <c r="A142" t="s">
        <v>46</v>
      </c>
      <c r="B142" t="s">
        <v>2654</v>
      </c>
      <c r="C142" t="s">
        <v>16</v>
      </c>
      <c r="D142" t="s">
        <v>16</v>
      </c>
      <c r="E142" t="s">
        <v>16</v>
      </c>
      <c r="F142" t="s">
        <v>2655</v>
      </c>
      <c r="G142" t="s">
        <v>16</v>
      </c>
      <c r="H142" t="s">
        <v>16</v>
      </c>
      <c r="I142" t="s">
        <v>2656</v>
      </c>
      <c r="J142" t="s">
        <v>326</v>
      </c>
      <c r="K142" t="s">
        <v>16</v>
      </c>
      <c r="L142" t="s">
        <v>16</v>
      </c>
      <c r="M142" t="s">
        <v>22</v>
      </c>
      <c r="N142" t="s">
        <v>51</v>
      </c>
      <c r="O142" t="s">
        <v>16</v>
      </c>
      <c r="P142" t="s">
        <v>16</v>
      </c>
      <c r="Q142" t="s">
        <v>16</v>
      </c>
      <c r="R142" t="s">
        <v>16</v>
      </c>
      <c r="S142" t="s">
        <v>16</v>
      </c>
      <c r="T142" t="s">
        <v>2657</v>
      </c>
      <c r="U142" t="s">
        <v>2658</v>
      </c>
      <c r="V142" t="s">
        <v>2659</v>
      </c>
      <c r="W142" t="s">
        <v>2660</v>
      </c>
      <c r="X142" t="s">
        <v>2661</v>
      </c>
      <c r="Y142" t="s">
        <v>2662</v>
      </c>
      <c r="Z142" t="s">
        <v>2663</v>
      </c>
      <c r="AA142" t="s">
        <v>2664</v>
      </c>
      <c r="AB142" t="s">
        <v>2665</v>
      </c>
      <c r="AC142" t="s">
        <v>16</v>
      </c>
      <c r="AD142" t="s">
        <v>16</v>
      </c>
      <c r="AE142" t="s">
        <v>16</v>
      </c>
      <c r="AF142" t="s">
        <v>16</v>
      </c>
      <c r="AG142">
        <v>13</v>
      </c>
      <c r="AH142">
        <v>59</v>
      </c>
      <c r="AI142">
        <v>74</v>
      </c>
      <c r="AJ142">
        <v>2</v>
      </c>
      <c r="AK142">
        <v>28</v>
      </c>
      <c r="AL142" t="s">
        <v>332</v>
      </c>
      <c r="AM142" t="s">
        <v>333</v>
      </c>
      <c r="AN142" t="s">
        <v>334</v>
      </c>
      <c r="AO142" t="s">
        <v>335</v>
      </c>
      <c r="AP142" t="s">
        <v>336</v>
      </c>
      <c r="AQ142" t="s">
        <v>16</v>
      </c>
      <c r="AR142" t="s">
        <v>326</v>
      </c>
      <c r="AS142" t="s">
        <v>337</v>
      </c>
      <c r="AT142" t="s">
        <v>419</v>
      </c>
      <c r="AU142">
        <v>2015</v>
      </c>
      <c r="AV142">
        <v>200</v>
      </c>
      <c r="AW142">
        <v>4</v>
      </c>
      <c r="AX142" t="s">
        <v>16</v>
      </c>
      <c r="AY142" t="s">
        <v>16</v>
      </c>
      <c r="AZ142" t="s">
        <v>16</v>
      </c>
      <c r="BA142" t="s">
        <v>16</v>
      </c>
      <c r="BB142">
        <v>1341</v>
      </c>
      <c r="BC142" t="s">
        <v>1721</v>
      </c>
      <c r="BD142" t="s">
        <v>16</v>
      </c>
      <c r="BE142" t="s">
        <v>2666</v>
      </c>
      <c r="BF142" t="str">
        <f>HYPERLINK("http://dx.doi.org/10.1534/genetics.115.178038","http://dx.doi.org/10.1534/genetics.115.178038")</f>
        <v>http://dx.doi.org/10.1534/genetics.115.178038</v>
      </c>
      <c r="BG142" t="s">
        <v>16</v>
      </c>
      <c r="BH142" t="s">
        <v>16</v>
      </c>
      <c r="BI142">
        <v>17</v>
      </c>
      <c r="BJ142" t="s">
        <v>339</v>
      </c>
      <c r="BK142" t="s">
        <v>73</v>
      </c>
      <c r="BL142" t="s">
        <v>339</v>
      </c>
      <c r="BM142" t="s">
        <v>2667</v>
      </c>
      <c r="BN142">
        <v>26092719</v>
      </c>
      <c r="BO142" t="s">
        <v>341</v>
      </c>
      <c r="BP142" t="s">
        <v>16</v>
      </c>
      <c r="BQ142" t="s">
        <v>16</v>
      </c>
      <c r="BR142" t="s">
        <v>44</v>
      </c>
      <c r="BS142" t="s">
        <v>2668</v>
      </c>
      <c r="BT142" t="str">
        <f>HYPERLINK("https%3A%2F%2Fwww.webofscience.com%2Fwos%2Fwoscc%2Ffull-record%2FWOS:000359917000028","View Full Record in Web of Science")</f>
        <v>View Full Record in Web of Science</v>
      </c>
    </row>
    <row r="143" spans="1:72" x14ac:dyDescent="0.2">
      <c r="A143" t="s">
        <v>46</v>
      </c>
      <c r="B143" t="s">
        <v>2669</v>
      </c>
      <c r="C143" t="s">
        <v>16</v>
      </c>
      <c r="D143" t="s">
        <v>16</v>
      </c>
      <c r="E143" t="s">
        <v>16</v>
      </c>
      <c r="F143" t="s">
        <v>2670</v>
      </c>
      <c r="G143" t="s">
        <v>16</v>
      </c>
      <c r="H143" t="s">
        <v>16</v>
      </c>
      <c r="I143" t="s">
        <v>2671</v>
      </c>
      <c r="J143" t="s">
        <v>2672</v>
      </c>
      <c r="K143" t="s">
        <v>16</v>
      </c>
      <c r="L143" t="s">
        <v>16</v>
      </c>
      <c r="M143" t="s">
        <v>22</v>
      </c>
      <c r="N143" t="s">
        <v>51</v>
      </c>
      <c r="O143" t="s">
        <v>16</v>
      </c>
      <c r="P143" t="s">
        <v>16</v>
      </c>
      <c r="Q143" t="s">
        <v>16</v>
      </c>
      <c r="R143" t="s">
        <v>16</v>
      </c>
      <c r="S143" t="s">
        <v>16</v>
      </c>
      <c r="T143" t="s">
        <v>2673</v>
      </c>
      <c r="U143" t="s">
        <v>2674</v>
      </c>
      <c r="V143" t="s">
        <v>2675</v>
      </c>
      <c r="W143" t="s">
        <v>2676</v>
      </c>
      <c r="X143" t="s">
        <v>2677</v>
      </c>
      <c r="Y143" t="s">
        <v>2678</v>
      </c>
      <c r="Z143" t="s">
        <v>892</v>
      </c>
      <c r="AA143" t="s">
        <v>893</v>
      </c>
      <c r="AB143" t="s">
        <v>894</v>
      </c>
      <c r="AC143" t="s">
        <v>2679</v>
      </c>
      <c r="AD143" t="s">
        <v>2680</v>
      </c>
      <c r="AE143" t="s">
        <v>2681</v>
      </c>
      <c r="AF143" t="s">
        <v>16</v>
      </c>
      <c r="AG143">
        <v>74</v>
      </c>
      <c r="AH143">
        <v>811</v>
      </c>
      <c r="AI143">
        <v>938</v>
      </c>
      <c r="AJ143">
        <v>6</v>
      </c>
      <c r="AK143">
        <v>189</v>
      </c>
      <c r="AL143" t="s">
        <v>720</v>
      </c>
      <c r="AM143" t="s">
        <v>721</v>
      </c>
      <c r="AN143" t="s">
        <v>722</v>
      </c>
      <c r="AO143" t="s">
        <v>2682</v>
      </c>
      <c r="AP143" t="s">
        <v>2683</v>
      </c>
      <c r="AQ143" t="s">
        <v>16</v>
      </c>
      <c r="AR143" t="s">
        <v>2684</v>
      </c>
      <c r="AS143" t="s">
        <v>2685</v>
      </c>
      <c r="AT143" t="s">
        <v>623</v>
      </c>
      <c r="AU143">
        <v>2010</v>
      </c>
      <c r="AV143">
        <v>9</v>
      </c>
      <c r="AW143">
        <v>2</v>
      </c>
      <c r="AX143" t="s">
        <v>16</v>
      </c>
      <c r="AY143" t="s">
        <v>16</v>
      </c>
      <c r="AZ143" t="s">
        <v>16</v>
      </c>
      <c r="BA143" t="s">
        <v>16</v>
      </c>
      <c r="BB143">
        <v>166</v>
      </c>
      <c r="BC143">
        <v>177</v>
      </c>
      <c r="BD143" t="s">
        <v>16</v>
      </c>
      <c r="BE143" t="s">
        <v>2686</v>
      </c>
      <c r="BF143" t="str">
        <f>HYPERLINK("http://dx.doi.org/10.1093/bfgp/elq001","http://dx.doi.org/10.1093/bfgp/elq001")</f>
        <v>http://dx.doi.org/10.1093/bfgp/elq001</v>
      </c>
      <c r="BG143" t="s">
        <v>16</v>
      </c>
      <c r="BH143" t="s">
        <v>16</v>
      </c>
      <c r="BI143">
        <v>12</v>
      </c>
      <c r="BJ143" t="s">
        <v>296</v>
      </c>
      <c r="BK143" t="s">
        <v>73</v>
      </c>
      <c r="BL143" t="s">
        <v>509</v>
      </c>
      <c r="BM143" t="s">
        <v>2687</v>
      </c>
      <c r="BN143">
        <v>20156985</v>
      </c>
      <c r="BO143" t="s">
        <v>16</v>
      </c>
      <c r="BP143" t="s">
        <v>16</v>
      </c>
      <c r="BQ143" t="s">
        <v>16</v>
      </c>
      <c r="BR143" t="s">
        <v>44</v>
      </c>
      <c r="BS143" t="s">
        <v>2688</v>
      </c>
      <c r="BT143" t="str">
        <f>HYPERLINK("https%3A%2F%2Fwww.webofscience.com%2Fwos%2Fwoscc%2Ffull-record%2FWOS:000276191200010","View Full Record in Web of Science")</f>
        <v>View Full Record in Web of Science</v>
      </c>
    </row>
    <row r="144" spans="1:72" x14ac:dyDescent="0.2">
      <c r="A144" t="s">
        <v>46</v>
      </c>
      <c r="B144" t="s">
        <v>2689</v>
      </c>
      <c r="C144" t="s">
        <v>16</v>
      </c>
      <c r="D144" t="s">
        <v>16</v>
      </c>
      <c r="E144" t="s">
        <v>16</v>
      </c>
      <c r="F144" t="s">
        <v>2690</v>
      </c>
      <c r="G144" t="s">
        <v>16</v>
      </c>
      <c r="H144" t="s">
        <v>16</v>
      </c>
      <c r="I144" t="s">
        <v>2691</v>
      </c>
      <c r="J144" t="s">
        <v>252</v>
      </c>
      <c r="K144" t="s">
        <v>16</v>
      </c>
      <c r="L144" t="s">
        <v>16</v>
      </c>
      <c r="M144" t="s">
        <v>253</v>
      </c>
      <c r="N144" t="s">
        <v>51</v>
      </c>
      <c r="O144" t="s">
        <v>16</v>
      </c>
      <c r="P144" t="s">
        <v>16</v>
      </c>
      <c r="Q144" t="s">
        <v>16</v>
      </c>
      <c r="R144" t="s">
        <v>16</v>
      </c>
      <c r="S144" t="s">
        <v>16</v>
      </c>
      <c r="T144" t="s">
        <v>2692</v>
      </c>
      <c r="U144" t="s">
        <v>2693</v>
      </c>
      <c r="V144" t="s">
        <v>2694</v>
      </c>
      <c r="W144" t="s">
        <v>2695</v>
      </c>
      <c r="X144" t="s">
        <v>2696</v>
      </c>
      <c r="Y144" t="s">
        <v>2697</v>
      </c>
      <c r="Z144" t="s">
        <v>2698</v>
      </c>
      <c r="AA144" t="s">
        <v>261</v>
      </c>
      <c r="AB144" t="s">
        <v>262</v>
      </c>
      <c r="AC144" t="s">
        <v>16</v>
      </c>
      <c r="AD144" t="s">
        <v>16</v>
      </c>
      <c r="AE144" t="s">
        <v>16</v>
      </c>
      <c r="AF144" t="s">
        <v>16</v>
      </c>
      <c r="AG144">
        <v>22</v>
      </c>
      <c r="AH144">
        <v>9</v>
      </c>
      <c r="AI144">
        <v>12</v>
      </c>
      <c r="AJ144">
        <v>0</v>
      </c>
      <c r="AK144">
        <v>5</v>
      </c>
      <c r="AL144" t="s">
        <v>263</v>
      </c>
      <c r="AM144" t="s">
        <v>264</v>
      </c>
      <c r="AN144" t="s">
        <v>265</v>
      </c>
      <c r="AO144" t="s">
        <v>266</v>
      </c>
      <c r="AP144" t="s">
        <v>267</v>
      </c>
      <c r="AQ144" t="s">
        <v>16</v>
      </c>
      <c r="AR144" t="s">
        <v>268</v>
      </c>
      <c r="AS144" t="s">
        <v>269</v>
      </c>
      <c r="AT144" t="s">
        <v>769</v>
      </c>
      <c r="AU144">
        <v>2009</v>
      </c>
      <c r="AV144">
        <v>33</v>
      </c>
      <c r="AW144">
        <v>4</v>
      </c>
      <c r="AX144" t="s">
        <v>16</v>
      </c>
      <c r="AY144" t="s">
        <v>16</v>
      </c>
      <c r="AZ144" t="s">
        <v>16</v>
      </c>
      <c r="BA144" t="s">
        <v>16</v>
      </c>
      <c r="BB144">
        <v>1026</v>
      </c>
      <c r="BC144">
        <v>1033</v>
      </c>
      <c r="BD144" t="s">
        <v>16</v>
      </c>
      <c r="BE144" t="s">
        <v>2699</v>
      </c>
      <c r="BF144" t="str">
        <f>HYPERLINK("http://dx.doi.org/10.1590/S1413-70542009000400012","http://dx.doi.org/10.1590/S1413-70542009000400012")</f>
        <v>http://dx.doi.org/10.1590/S1413-70542009000400012</v>
      </c>
      <c r="BG144" t="s">
        <v>16</v>
      </c>
      <c r="BH144" t="s">
        <v>16</v>
      </c>
      <c r="BI144">
        <v>8</v>
      </c>
      <c r="BJ144" t="s">
        <v>296</v>
      </c>
      <c r="BK144" t="s">
        <v>73</v>
      </c>
      <c r="BL144" t="s">
        <v>42</v>
      </c>
      <c r="BM144" t="s">
        <v>2700</v>
      </c>
      <c r="BN144" t="s">
        <v>16</v>
      </c>
      <c r="BO144" t="s">
        <v>216</v>
      </c>
      <c r="BP144" t="s">
        <v>16</v>
      </c>
      <c r="BQ144" t="s">
        <v>16</v>
      </c>
      <c r="BR144" t="s">
        <v>44</v>
      </c>
      <c r="BS144" t="s">
        <v>2701</v>
      </c>
      <c r="BT144" t="str">
        <f>HYPERLINK("https%3A%2F%2Fwww.webofscience.com%2Fwos%2Fwoscc%2Ffull-record%2FWOS:000270154700012","View Full Record in Web of Science")</f>
        <v>View Full Record in Web of Science</v>
      </c>
    </row>
    <row r="145" spans="1:72" x14ac:dyDescent="0.2">
      <c r="A145" t="s">
        <v>46</v>
      </c>
      <c r="B145" t="s">
        <v>2702</v>
      </c>
      <c r="C145" t="s">
        <v>16</v>
      </c>
      <c r="D145" t="s">
        <v>16</v>
      </c>
      <c r="E145" t="s">
        <v>16</v>
      </c>
      <c r="F145" t="s">
        <v>2702</v>
      </c>
      <c r="G145" t="s">
        <v>16</v>
      </c>
      <c r="H145" t="s">
        <v>16</v>
      </c>
      <c r="I145" t="s">
        <v>2703</v>
      </c>
      <c r="J145" t="s">
        <v>609</v>
      </c>
      <c r="K145" t="s">
        <v>16</v>
      </c>
      <c r="L145" t="s">
        <v>16</v>
      </c>
      <c r="M145" t="s">
        <v>253</v>
      </c>
      <c r="N145" t="s">
        <v>51</v>
      </c>
      <c r="O145" t="s">
        <v>16</v>
      </c>
      <c r="P145" t="s">
        <v>16</v>
      </c>
      <c r="Q145" t="s">
        <v>16</v>
      </c>
      <c r="R145" t="s">
        <v>16</v>
      </c>
      <c r="S145" t="s">
        <v>16</v>
      </c>
      <c r="T145" t="s">
        <v>2704</v>
      </c>
      <c r="U145" t="s">
        <v>2705</v>
      </c>
      <c r="V145" t="s">
        <v>2706</v>
      </c>
      <c r="W145" t="s">
        <v>2707</v>
      </c>
      <c r="X145" t="s">
        <v>910</v>
      </c>
      <c r="Y145" t="s">
        <v>2708</v>
      </c>
      <c r="Z145" t="s">
        <v>2709</v>
      </c>
      <c r="AA145" t="s">
        <v>2710</v>
      </c>
      <c r="AB145" t="s">
        <v>2711</v>
      </c>
      <c r="AC145" t="s">
        <v>16</v>
      </c>
      <c r="AD145" t="s">
        <v>16</v>
      </c>
      <c r="AE145" t="s">
        <v>16</v>
      </c>
      <c r="AF145" t="s">
        <v>16</v>
      </c>
      <c r="AG145">
        <v>17</v>
      </c>
      <c r="AH145">
        <v>14</v>
      </c>
      <c r="AI145">
        <v>21</v>
      </c>
      <c r="AJ145">
        <v>0</v>
      </c>
      <c r="AK145">
        <v>1</v>
      </c>
      <c r="AL145" t="s">
        <v>616</v>
      </c>
      <c r="AM145" t="s">
        <v>617</v>
      </c>
      <c r="AN145" t="s">
        <v>618</v>
      </c>
      <c r="AO145" t="s">
        <v>619</v>
      </c>
      <c r="AP145" t="s">
        <v>620</v>
      </c>
      <c r="AQ145" t="s">
        <v>16</v>
      </c>
      <c r="AR145" t="s">
        <v>621</v>
      </c>
      <c r="AS145" t="s">
        <v>622</v>
      </c>
      <c r="AT145" t="s">
        <v>1138</v>
      </c>
      <c r="AU145">
        <v>2000</v>
      </c>
      <c r="AV145">
        <v>35</v>
      </c>
      <c r="AW145">
        <v>7</v>
      </c>
      <c r="AX145" t="s">
        <v>16</v>
      </c>
      <c r="AY145" t="s">
        <v>16</v>
      </c>
      <c r="AZ145" t="s">
        <v>16</v>
      </c>
      <c r="BA145" t="s">
        <v>16</v>
      </c>
      <c r="BB145">
        <v>1433</v>
      </c>
      <c r="BC145">
        <v>1439</v>
      </c>
      <c r="BD145" t="s">
        <v>16</v>
      </c>
      <c r="BE145" t="s">
        <v>2712</v>
      </c>
      <c r="BF145" t="str">
        <f>HYPERLINK("http://dx.doi.org/10.1590/S0100-204X2000000700018","http://dx.doi.org/10.1590/S0100-204X2000000700018")</f>
        <v>http://dx.doi.org/10.1590/S0100-204X2000000700018</v>
      </c>
      <c r="BG145" t="s">
        <v>16</v>
      </c>
      <c r="BH145" t="s">
        <v>16</v>
      </c>
      <c r="BI145">
        <v>7</v>
      </c>
      <c r="BJ145" t="s">
        <v>296</v>
      </c>
      <c r="BK145" t="s">
        <v>73</v>
      </c>
      <c r="BL145" t="s">
        <v>42</v>
      </c>
      <c r="BM145" t="s">
        <v>2713</v>
      </c>
      <c r="BN145" t="s">
        <v>16</v>
      </c>
      <c r="BO145" t="s">
        <v>511</v>
      </c>
      <c r="BP145" t="s">
        <v>16</v>
      </c>
      <c r="BQ145" t="s">
        <v>16</v>
      </c>
      <c r="BR145" t="s">
        <v>44</v>
      </c>
      <c r="BS145" t="s">
        <v>2714</v>
      </c>
      <c r="BT145" t="str">
        <f>HYPERLINK("https%3A%2F%2Fwww.webofscience.com%2Fwos%2Fwoscc%2Ffull-record%2FWOS:000089341200018","View Full Record in Web of Science")</f>
        <v>View Full Record in Web of Science</v>
      </c>
    </row>
    <row r="146" spans="1:72" x14ac:dyDescent="0.2">
      <c r="A146" t="s">
        <v>46</v>
      </c>
      <c r="B146" t="s">
        <v>2715</v>
      </c>
      <c r="C146" t="s">
        <v>16</v>
      </c>
      <c r="D146" t="s">
        <v>16</v>
      </c>
      <c r="E146" t="s">
        <v>16</v>
      </c>
      <c r="F146" t="s">
        <v>2716</v>
      </c>
      <c r="G146" t="s">
        <v>16</v>
      </c>
      <c r="H146" t="s">
        <v>16</v>
      </c>
      <c r="I146" t="s">
        <v>2717</v>
      </c>
      <c r="J146" t="s">
        <v>2718</v>
      </c>
      <c r="K146" t="s">
        <v>16</v>
      </c>
      <c r="L146" t="s">
        <v>16</v>
      </c>
      <c r="M146" t="s">
        <v>22</v>
      </c>
      <c r="N146" t="s">
        <v>118</v>
      </c>
      <c r="O146" t="s">
        <v>16</v>
      </c>
      <c r="P146" t="s">
        <v>16</v>
      </c>
      <c r="Q146" t="s">
        <v>16</v>
      </c>
      <c r="R146" t="s">
        <v>16</v>
      </c>
      <c r="S146" t="s">
        <v>16</v>
      </c>
      <c r="T146" t="s">
        <v>16</v>
      </c>
      <c r="U146" t="s">
        <v>2719</v>
      </c>
      <c r="V146" t="s">
        <v>2720</v>
      </c>
      <c r="W146" t="s">
        <v>2721</v>
      </c>
      <c r="X146" t="s">
        <v>2722</v>
      </c>
      <c r="Y146" t="s">
        <v>2723</v>
      </c>
      <c r="Z146" t="s">
        <v>2724</v>
      </c>
      <c r="AA146" t="s">
        <v>2725</v>
      </c>
      <c r="AB146" t="s">
        <v>2726</v>
      </c>
      <c r="AC146" t="s">
        <v>2727</v>
      </c>
      <c r="AD146" t="s">
        <v>2728</v>
      </c>
      <c r="AE146" t="s">
        <v>2729</v>
      </c>
      <c r="AF146" t="s">
        <v>16</v>
      </c>
      <c r="AG146">
        <v>143</v>
      </c>
      <c r="AH146">
        <v>4</v>
      </c>
      <c r="AI146">
        <v>4</v>
      </c>
      <c r="AJ146">
        <v>13</v>
      </c>
      <c r="AK146">
        <v>47</v>
      </c>
      <c r="AL146" t="s">
        <v>2730</v>
      </c>
      <c r="AM146" t="s">
        <v>2731</v>
      </c>
      <c r="AN146" t="s">
        <v>2732</v>
      </c>
      <c r="AO146" t="s">
        <v>2733</v>
      </c>
      <c r="AP146" t="s">
        <v>16</v>
      </c>
      <c r="AQ146" t="s">
        <v>16</v>
      </c>
      <c r="AR146" t="s">
        <v>2718</v>
      </c>
      <c r="AS146" t="s">
        <v>2734</v>
      </c>
      <c r="AT146" t="s">
        <v>2735</v>
      </c>
      <c r="AU146">
        <v>2023</v>
      </c>
      <c r="AV146">
        <v>5</v>
      </c>
      <c r="AW146" t="s">
        <v>16</v>
      </c>
      <c r="AX146" t="s">
        <v>16</v>
      </c>
      <c r="AY146" t="s">
        <v>16</v>
      </c>
      <c r="AZ146" t="s">
        <v>16</v>
      </c>
      <c r="BA146" t="s">
        <v>16</v>
      </c>
      <c r="BB146" t="s">
        <v>16</v>
      </c>
      <c r="BC146" t="s">
        <v>16</v>
      </c>
      <c r="BD146">
        <v>99</v>
      </c>
      <c r="BE146" t="s">
        <v>2736</v>
      </c>
      <c r="BF146" t="str">
        <f>HYPERLINK("http://dx.doi.org/10.34133/plantphenomics.0099","http://dx.doi.org/10.34133/plantphenomics.0099")</f>
        <v>http://dx.doi.org/10.34133/plantphenomics.0099</v>
      </c>
      <c r="BG146" t="s">
        <v>16</v>
      </c>
      <c r="BH146" t="s">
        <v>16</v>
      </c>
      <c r="BI146">
        <v>12</v>
      </c>
      <c r="BJ146" t="s">
        <v>296</v>
      </c>
      <c r="BK146" t="s">
        <v>73</v>
      </c>
      <c r="BL146" t="s">
        <v>2737</v>
      </c>
      <c r="BM146" t="s">
        <v>2738</v>
      </c>
      <c r="BN146">
        <v>37817886</v>
      </c>
      <c r="BO146" t="s">
        <v>216</v>
      </c>
      <c r="BP146" t="s">
        <v>16</v>
      </c>
      <c r="BQ146" t="s">
        <v>16</v>
      </c>
      <c r="BR146" t="s">
        <v>44</v>
      </c>
      <c r="BS146" t="s">
        <v>2739</v>
      </c>
      <c r="BT146" t="str">
        <f>HYPERLINK("https%3A%2F%2Fwww.webofscience.com%2Fwos%2Fwoscc%2Ffull-record%2FWOS:001123106500002","View Full Record in Web of Science")</f>
        <v>View Full Record in Web of Science</v>
      </c>
    </row>
    <row r="147" spans="1:72" x14ac:dyDescent="0.2">
      <c r="A147" t="s">
        <v>46</v>
      </c>
      <c r="B147" t="s">
        <v>2740</v>
      </c>
      <c r="C147" t="s">
        <v>16</v>
      </c>
      <c r="D147" t="s">
        <v>16</v>
      </c>
      <c r="E147" t="s">
        <v>16</v>
      </c>
      <c r="F147" t="s">
        <v>2741</v>
      </c>
      <c r="G147" t="s">
        <v>16</v>
      </c>
      <c r="H147" t="s">
        <v>16</v>
      </c>
      <c r="I147" t="s">
        <v>2742</v>
      </c>
      <c r="J147" t="s">
        <v>2743</v>
      </c>
      <c r="K147" t="s">
        <v>16</v>
      </c>
      <c r="L147" t="s">
        <v>16</v>
      </c>
      <c r="M147" t="s">
        <v>22</v>
      </c>
      <c r="N147" t="s">
        <v>118</v>
      </c>
      <c r="O147" t="s">
        <v>16</v>
      </c>
      <c r="P147" t="s">
        <v>16</v>
      </c>
      <c r="Q147" t="s">
        <v>16</v>
      </c>
      <c r="R147" t="s">
        <v>16</v>
      </c>
      <c r="S147" t="s">
        <v>16</v>
      </c>
      <c r="T147" t="s">
        <v>2744</v>
      </c>
      <c r="U147" t="s">
        <v>2745</v>
      </c>
      <c r="V147" t="s">
        <v>2746</v>
      </c>
      <c r="W147" t="s">
        <v>2747</v>
      </c>
      <c r="X147" t="s">
        <v>2748</v>
      </c>
      <c r="Y147" t="s">
        <v>2749</v>
      </c>
      <c r="Z147" t="s">
        <v>2750</v>
      </c>
      <c r="AA147" t="s">
        <v>2751</v>
      </c>
      <c r="AB147" t="s">
        <v>2752</v>
      </c>
      <c r="AC147" t="s">
        <v>2753</v>
      </c>
      <c r="AD147" t="s">
        <v>2754</v>
      </c>
      <c r="AE147" t="s">
        <v>2755</v>
      </c>
      <c r="AF147" t="s">
        <v>16</v>
      </c>
      <c r="AG147">
        <v>124</v>
      </c>
      <c r="AH147">
        <v>59</v>
      </c>
      <c r="AI147">
        <v>70</v>
      </c>
      <c r="AJ147">
        <v>5</v>
      </c>
      <c r="AK147">
        <v>150</v>
      </c>
      <c r="AL147" t="s">
        <v>1157</v>
      </c>
      <c r="AM147" t="s">
        <v>1158</v>
      </c>
      <c r="AN147" t="s">
        <v>1159</v>
      </c>
      <c r="AO147" t="s">
        <v>2756</v>
      </c>
      <c r="AP147" t="s">
        <v>2757</v>
      </c>
      <c r="AQ147" t="s">
        <v>16</v>
      </c>
      <c r="AR147" t="s">
        <v>2758</v>
      </c>
      <c r="AS147" t="s">
        <v>2759</v>
      </c>
      <c r="AT147" t="s">
        <v>318</v>
      </c>
      <c r="AU147">
        <v>2014</v>
      </c>
      <c r="AV147">
        <v>10</v>
      </c>
      <c r="AW147">
        <v>6</v>
      </c>
      <c r="AX147" t="s">
        <v>16</v>
      </c>
      <c r="AY147" t="s">
        <v>16</v>
      </c>
      <c r="AZ147" t="s">
        <v>16</v>
      </c>
      <c r="BA147" t="s">
        <v>16</v>
      </c>
      <c r="BB147">
        <v>1491</v>
      </c>
      <c r="BC147">
        <v>1510</v>
      </c>
      <c r="BD147" t="s">
        <v>16</v>
      </c>
      <c r="BE147" t="s">
        <v>2760</v>
      </c>
      <c r="BF147" t="str">
        <f>HYPERLINK("http://dx.doi.org/10.1007/s11295-014-0790-5","http://dx.doi.org/10.1007/s11295-014-0790-5")</f>
        <v>http://dx.doi.org/10.1007/s11295-014-0790-5</v>
      </c>
      <c r="BG147" t="s">
        <v>16</v>
      </c>
      <c r="BH147" t="s">
        <v>16</v>
      </c>
      <c r="BI147">
        <v>20</v>
      </c>
      <c r="BJ147" t="s">
        <v>296</v>
      </c>
      <c r="BK147" t="s">
        <v>73</v>
      </c>
      <c r="BL147" t="s">
        <v>2761</v>
      </c>
      <c r="BM147" t="s">
        <v>2762</v>
      </c>
      <c r="BN147" t="s">
        <v>16</v>
      </c>
      <c r="BO147" t="s">
        <v>16</v>
      </c>
      <c r="BP147" t="s">
        <v>16</v>
      </c>
      <c r="BQ147" t="s">
        <v>16</v>
      </c>
      <c r="BR147" t="s">
        <v>44</v>
      </c>
      <c r="BS147" t="s">
        <v>2763</v>
      </c>
      <c r="BT147" t="str">
        <f>HYPERLINK("https%3A%2F%2Fwww.webofscience.com%2Fwos%2Fwoscc%2Ffull-record%2FWOS:000343924600001","View Full Record in Web of Science")</f>
        <v>View Full Record in Web of Science</v>
      </c>
    </row>
    <row r="148" spans="1:72" x14ac:dyDescent="0.2">
      <c r="A148" t="s">
        <v>46</v>
      </c>
      <c r="B148" t="s">
        <v>2764</v>
      </c>
      <c r="C148" t="s">
        <v>16</v>
      </c>
      <c r="D148" t="s">
        <v>16</v>
      </c>
      <c r="E148" t="s">
        <v>16</v>
      </c>
      <c r="F148" t="s">
        <v>2765</v>
      </c>
      <c r="G148" t="s">
        <v>16</v>
      </c>
      <c r="H148" t="s">
        <v>16</v>
      </c>
      <c r="I148" t="s">
        <v>2766</v>
      </c>
      <c r="J148" t="s">
        <v>490</v>
      </c>
      <c r="K148" t="s">
        <v>16</v>
      </c>
      <c r="L148" t="s">
        <v>16</v>
      </c>
      <c r="M148" t="s">
        <v>22</v>
      </c>
      <c r="N148" t="s">
        <v>51</v>
      </c>
      <c r="O148" t="s">
        <v>16</v>
      </c>
      <c r="P148" t="s">
        <v>16</v>
      </c>
      <c r="Q148" t="s">
        <v>16</v>
      </c>
      <c r="R148" t="s">
        <v>16</v>
      </c>
      <c r="S148" t="s">
        <v>16</v>
      </c>
      <c r="T148" t="s">
        <v>2767</v>
      </c>
      <c r="U148" t="s">
        <v>2768</v>
      </c>
      <c r="V148" t="s">
        <v>2769</v>
      </c>
      <c r="W148" t="s">
        <v>2770</v>
      </c>
      <c r="X148" t="s">
        <v>2771</v>
      </c>
      <c r="Y148" t="s">
        <v>2772</v>
      </c>
      <c r="Z148" t="s">
        <v>740</v>
      </c>
      <c r="AA148" t="s">
        <v>16</v>
      </c>
      <c r="AB148" t="s">
        <v>2773</v>
      </c>
      <c r="AC148" t="s">
        <v>2774</v>
      </c>
      <c r="AD148" t="s">
        <v>2775</v>
      </c>
      <c r="AE148" t="s">
        <v>2776</v>
      </c>
      <c r="AF148" t="s">
        <v>16</v>
      </c>
      <c r="AG148">
        <v>26</v>
      </c>
      <c r="AH148">
        <v>40</v>
      </c>
      <c r="AI148">
        <v>44</v>
      </c>
      <c r="AJ148">
        <v>1</v>
      </c>
      <c r="AK148">
        <v>33</v>
      </c>
      <c r="AL148" t="s">
        <v>503</v>
      </c>
      <c r="AM148" t="s">
        <v>376</v>
      </c>
      <c r="AN148" t="s">
        <v>504</v>
      </c>
      <c r="AO148" t="s">
        <v>505</v>
      </c>
      <c r="AP148" t="s">
        <v>16</v>
      </c>
      <c r="AQ148" t="s">
        <v>16</v>
      </c>
      <c r="AR148" t="s">
        <v>490</v>
      </c>
      <c r="AS148" t="s">
        <v>506</v>
      </c>
      <c r="AT148" t="s">
        <v>2777</v>
      </c>
      <c r="AU148">
        <v>2013</v>
      </c>
      <c r="AV148">
        <v>14</v>
      </c>
      <c r="AW148" t="s">
        <v>16</v>
      </c>
      <c r="AX148" t="s">
        <v>16</v>
      </c>
      <c r="AY148" t="s">
        <v>16</v>
      </c>
      <c r="AZ148" t="s">
        <v>16</v>
      </c>
      <c r="BA148" t="s">
        <v>16</v>
      </c>
      <c r="BB148" t="s">
        <v>16</v>
      </c>
      <c r="BC148" t="s">
        <v>16</v>
      </c>
      <c r="BD148">
        <v>860</v>
      </c>
      <c r="BE148" t="s">
        <v>2778</v>
      </c>
      <c r="BF148" t="str">
        <f>HYPERLINK("http://dx.doi.org/10.1186/1471-2164-14-860","http://dx.doi.org/10.1186/1471-2164-14-860")</f>
        <v>http://dx.doi.org/10.1186/1471-2164-14-860</v>
      </c>
      <c r="BG148" t="s">
        <v>16</v>
      </c>
      <c r="BH148" t="s">
        <v>16</v>
      </c>
      <c r="BI148">
        <v>21</v>
      </c>
      <c r="BJ148" t="s">
        <v>296</v>
      </c>
      <c r="BK148" t="s">
        <v>73</v>
      </c>
      <c r="BL148" t="s">
        <v>509</v>
      </c>
      <c r="BM148" t="s">
        <v>2779</v>
      </c>
      <c r="BN148">
        <v>24314298</v>
      </c>
      <c r="BO148" t="s">
        <v>216</v>
      </c>
      <c r="BP148" t="s">
        <v>16</v>
      </c>
      <c r="BQ148" t="s">
        <v>16</v>
      </c>
      <c r="BR148" t="s">
        <v>44</v>
      </c>
      <c r="BS148" t="s">
        <v>2780</v>
      </c>
      <c r="BT148" t="str">
        <f>HYPERLINK("https%3A%2F%2Fwww.webofscience.com%2Fwos%2Fwoscc%2Ffull-record%2FWOS:000329362600001","View Full Record in Web of Science")</f>
        <v>View Full Record in Web of Science</v>
      </c>
    </row>
    <row r="149" spans="1:72" x14ac:dyDescent="0.2">
      <c r="A149" t="s">
        <v>46</v>
      </c>
      <c r="B149" t="s">
        <v>2781</v>
      </c>
      <c r="C149" t="s">
        <v>16</v>
      </c>
      <c r="D149" t="s">
        <v>16</v>
      </c>
      <c r="E149" t="s">
        <v>16</v>
      </c>
      <c r="F149" t="s">
        <v>2782</v>
      </c>
      <c r="G149" t="s">
        <v>16</v>
      </c>
      <c r="H149" t="s">
        <v>16</v>
      </c>
      <c r="I149" t="s">
        <v>2783</v>
      </c>
      <c r="J149" t="s">
        <v>50</v>
      </c>
      <c r="K149" t="s">
        <v>16</v>
      </c>
      <c r="L149" t="s">
        <v>16</v>
      </c>
      <c r="M149" t="s">
        <v>22</v>
      </c>
      <c r="N149" t="s">
        <v>51</v>
      </c>
      <c r="O149" t="s">
        <v>16</v>
      </c>
      <c r="P149" t="s">
        <v>16</v>
      </c>
      <c r="Q149" t="s">
        <v>16</v>
      </c>
      <c r="R149" t="s">
        <v>16</v>
      </c>
      <c r="S149" t="s">
        <v>16</v>
      </c>
      <c r="T149" t="s">
        <v>16</v>
      </c>
      <c r="U149" t="s">
        <v>2784</v>
      </c>
      <c r="V149" t="s">
        <v>2785</v>
      </c>
      <c r="W149" t="s">
        <v>2786</v>
      </c>
      <c r="X149" t="s">
        <v>928</v>
      </c>
      <c r="Y149" t="s">
        <v>2787</v>
      </c>
      <c r="Z149" t="s">
        <v>1474</v>
      </c>
      <c r="AA149" t="s">
        <v>58</v>
      </c>
      <c r="AB149" t="s">
        <v>2788</v>
      </c>
      <c r="AC149" t="s">
        <v>2789</v>
      </c>
      <c r="AD149" t="s">
        <v>2790</v>
      </c>
      <c r="AE149" t="s">
        <v>2791</v>
      </c>
      <c r="AF149" t="s">
        <v>16</v>
      </c>
      <c r="AG149">
        <v>56</v>
      </c>
      <c r="AH149">
        <v>41</v>
      </c>
      <c r="AI149">
        <v>44</v>
      </c>
      <c r="AJ149">
        <v>1</v>
      </c>
      <c r="AK149">
        <v>26</v>
      </c>
      <c r="AL149" t="s">
        <v>63</v>
      </c>
      <c r="AM149" t="s">
        <v>64</v>
      </c>
      <c r="AN149" t="s">
        <v>65</v>
      </c>
      <c r="AO149" t="s">
        <v>66</v>
      </c>
      <c r="AP149" t="s">
        <v>67</v>
      </c>
      <c r="AQ149" t="s">
        <v>16</v>
      </c>
      <c r="AR149" t="s">
        <v>68</v>
      </c>
      <c r="AS149" t="s">
        <v>69</v>
      </c>
      <c r="AT149" t="s">
        <v>990</v>
      </c>
      <c r="AU149">
        <v>2017</v>
      </c>
      <c r="AV149">
        <v>57</v>
      </c>
      <c r="AW149">
        <v>3</v>
      </c>
      <c r="AX149" t="s">
        <v>16</v>
      </c>
      <c r="AY149" t="s">
        <v>16</v>
      </c>
      <c r="AZ149" t="s">
        <v>16</v>
      </c>
      <c r="BA149" t="s">
        <v>16</v>
      </c>
      <c r="BB149">
        <v>1404</v>
      </c>
      <c r="BC149">
        <v>1420</v>
      </c>
      <c r="BD149" t="s">
        <v>16</v>
      </c>
      <c r="BE149" t="s">
        <v>2792</v>
      </c>
      <c r="BF149" t="str">
        <f>HYPERLINK("http://dx.doi.org/10.2135/cropsci2016.08.0675","http://dx.doi.org/10.2135/cropsci2016.08.0675")</f>
        <v>http://dx.doi.org/10.2135/cropsci2016.08.0675</v>
      </c>
      <c r="BG149" t="s">
        <v>16</v>
      </c>
      <c r="BH149" t="s">
        <v>16</v>
      </c>
      <c r="BI149">
        <v>17</v>
      </c>
      <c r="BJ149" t="s">
        <v>40</v>
      </c>
      <c r="BK149" t="s">
        <v>73</v>
      </c>
      <c r="BL149" t="s">
        <v>42</v>
      </c>
      <c r="BM149" t="s">
        <v>2793</v>
      </c>
      <c r="BN149" t="s">
        <v>16</v>
      </c>
      <c r="BO149" t="s">
        <v>2794</v>
      </c>
      <c r="BP149" t="s">
        <v>16</v>
      </c>
      <c r="BQ149" t="s">
        <v>16</v>
      </c>
      <c r="BR149" t="s">
        <v>44</v>
      </c>
      <c r="BS149" t="s">
        <v>2795</v>
      </c>
      <c r="BT149" t="str">
        <f>HYPERLINK("https%3A%2F%2Fwww.webofscience.com%2Fwos%2Fwoscc%2Ffull-record%2FWOS:000404483500031","View Full Record in Web of Science")</f>
        <v>View Full Record in Web of Science</v>
      </c>
    </row>
    <row r="150" spans="1:72" x14ac:dyDescent="0.2">
      <c r="A150" t="s">
        <v>46</v>
      </c>
      <c r="B150" t="s">
        <v>2796</v>
      </c>
      <c r="C150" t="s">
        <v>16</v>
      </c>
      <c r="D150" t="s">
        <v>16</v>
      </c>
      <c r="E150" t="s">
        <v>16</v>
      </c>
      <c r="F150" t="s">
        <v>2797</v>
      </c>
      <c r="G150" t="s">
        <v>16</v>
      </c>
      <c r="H150" t="s">
        <v>16</v>
      </c>
      <c r="I150" t="s">
        <v>2798</v>
      </c>
      <c r="J150" t="s">
        <v>346</v>
      </c>
      <c r="K150" t="s">
        <v>16</v>
      </c>
      <c r="L150" t="s">
        <v>16</v>
      </c>
      <c r="M150" t="s">
        <v>22</v>
      </c>
      <c r="N150" t="s">
        <v>51</v>
      </c>
      <c r="O150" t="s">
        <v>16</v>
      </c>
      <c r="P150" t="s">
        <v>16</v>
      </c>
      <c r="Q150" t="s">
        <v>16</v>
      </c>
      <c r="R150" t="s">
        <v>16</v>
      </c>
      <c r="S150" t="s">
        <v>16</v>
      </c>
      <c r="T150" t="s">
        <v>2799</v>
      </c>
      <c r="U150" t="s">
        <v>2800</v>
      </c>
      <c r="V150" t="s">
        <v>2801</v>
      </c>
      <c r="W150" t="s">
        <v>2802</v>
      </c>
      <c r="X150" t="s">
        <v>2803</v>
      </c>
      <c r="Y150" t="s">
        <v>2804</v>
      </c>
      <c r="Z150" t="s">
        <v>2805</v>
      </c>
      <c r="AA150" t="s">
        <v>16</v>
      </c>
      <c r="AB150" t="s">
        <v>16</v>
      </c>
      <c r="AC150" t="s">
        <v>2806</v>
      </c>
      <c r="AD150" t="s">
        <v>2807</v>
      </c>
      <c r="AE150" t="s">
        <v>2808</v>
      </c>
      <c r="AF150" t="s">
        <v>16</v>
      </c>
      <c r="AG150">
        <v>39</v>
      </c>
      <c r="AH150">
        <v>43</v>
      </c>
      <c r="AI150">
        <v>49</v>
      </c>
      <c r="AJ150">
        <v>0</v>
      </c>
      <c r="AK150">
        <v>65</v>
      </c>
      <c r="AL150" t="s">
        <v>128</v>
      </c>
      <c r="AM150" t="s">
        <v>225</v>
      </c>
      <c r="AN150" t="s">
        <v>357</v>
      </c>
      <c r="AO150" t="s">
        <v>358</v>
      </c>
      <c r="AP150" t="s">
        <v>359</v>
      </c>
      <c r="AQ150" t="s">
        <v>16</v>
      </c>
      <c r="AR150" t="s">
        <v>360</v>
      </c>
      <c r="AS150" t="s">
        <v>361</v>
      </c>
      <c r="AT150" t="s">
        <v>318</v>
      </c>
      <c r="AU150">
        <v>2014</v>
      </c>
      <c r="AV150">
        <v>34</v>
      </c>
      <c r="AW150">
        <v>4</v>
      </c>
      <c r="AX150" t="s">
        <v>16</v>
      </c>
      <c r="AY150" t="s">
        <v>16</v>
      </c>
      <c r="AZ150" t="s">
        <v>16</v>
      </c>
      <c r="BA150" t="s">
        <v>16</v>
      </c>
      <c r="BB150">
        <v>1843</v>
      </c>
      <c r="BC150">
        <v>1852</v>
      </c>
      <c r="BD150" t="s">
        <v>16</v>
      </c>
      <c r="BE150" t="s">
        <v>2809</v>
      </c>
      <c r="BF150" t="str">
        <f>HYPERLINK("http://dx.doi.org/10.1007/s11032-014-0143-y","http://dx.doi.org/10.1007/s11032-014-0143-y")</f>
        <v>http://dx.doi.org/10.1007/s11032-014-0143-y</v>
      </c>
      <c r="BG150" t="s">
        <v>16</v>
      </c>
      <c r="BH150" t="s">
        <v>16</v>
      </c>
      <c r="BI150">
        <v>10</v>
      </c>
      <c r="BJ150" t="s">
        <v>296</v>
      </c>
      <c r="BK150" t="s">
        <v>73</v>
      </c>
      <c r="BL150" t="s">
        <v>137</v>
      </c>
      <c r="BM150" t="s">
        <v>2810</v>
      </c>
      <c r="BN150">
        <v>26316839</v>
      </c>
      <c r="BO150" t="s">
        <v>385</v>
      </c>
      <c r="BP150" t="s">
        <v>16</v>
      </c>
      <c r="BQ150" t="s">
        <v>16</v>
      </c>
      <c r="BR150" t="s">
        <v>44</v>
      </c>
      <c r="BS150" t="s">
        <v>2811</v>
      </c>
      <c r="BT150" t="str">
        <f>HYPERLINK("https%3A%2F%2Fwww.webofscience.com%2Fwos%2Fwoscc%2Ffull-record%2FWOS:000345970200024","View Full Record in Web of Science")</f>
        <v>View Full Record in Web of Science</v>
      </c>
    </row>
    <row r="151" spans="1:72" x14ac:dyDescent="0.2">
      <c r="A151" t="s">
        <v>46</v>
      </c>
      <c r="B151" t="s">
        <v>2812</v>
      </c>
      <c r="C151" t="s">
        <v>16</v>
      </c>
      <c r="D151" t="s">
        <v>16</v>
      </c>
      <c r="E151" t="s">
        <v>16</v>
      </c>
      <c r="F151" t="s">
        <v>2813</v>
      </c>
      <c r="G151" t="s">
        <v>16</v>
      </c>
      <c r="H151" t="s">
        <v>16</v>
      </c>
      <c r="I151" t="s">
        <v>2814</v>
      </c>
      <c r="J151" t="s">
        <v>2815</v>
      </c>
      <c r="K151" t="s">
        <v>16</v>
      </c>
      <c r="L151" t="s">
        <v>16</v>
      </c>
      <c r="M151" t="s">
        <v>22</v>
      </c>
      <c r="N151" t="s">
        <v>51</v>
      </c>
      <c r="O151" t="s">
        <v>16</v>
      </c>
      <c r="P151" t="s">
        <v>16</v>
      </c>
      <c r="Q151" t="s">
        <v>16</v>
      </c>
      <c r="R151" t="s">
        <v>16</v>
      </c>
      <c r="S151" t="s">
        <v>16</v>
      </c>
      <c r="T151" t="s">
        <v>2816</v>
      </c>
      <c r="U151" t="s">
        <v>2817</v>
      </c>
      <c r="V151" t="s">
        <v>2818</v>
      </c>
      <c r="W151" t="s">
        <v>2819</v>
      </c>
      <c r="X151" t="s">
        <v>2820</v>
      </c>
      <c r="Y151" t="s">
        <v>2821</v>
      </c>
      <c r="Z151" t="s">
        <v>2822</v>
      </c>
      <c r="AA151" t="s">
        <v>16</v>
      </c>
      <c r="AB151" t="s">
        <v>2823</v>
      </c>
      <c r="AC151" t="s">
        <v>2824</v>
      </c>
      <c r="AD151" t="s">
        <v>2825</v>
      </c>
      <c r="AE151" t="s">
        <v>2826</v>
      </c>
      <c r="AF151" t="s">
        <v>16</v>
      </c>
      <c r="AG151">
        <v>48</v>
      </c>
      <c r="AH151">
        <v>14</v>
      </c>
      <c r="AI151">
        <v>14</v>
      </c>
      <c r="AJ151">
        <v>0</v>
      </c>
      <c r="AK151">
        <v>8</v>
      </c>
      <c r="AL151" t="s">
        <v>2827</v>
      </c>
      <c r="AM151" t="s">
        <v>2828</v>
      </c>
      <c r="AN151" t="s">
        <v>2829</v>
      </c>
      <c r="AO151" t="s">
        <v>2830</v>
      </c>
      <c r="AP151" t="s">
        <v>2831</v>
      </c>
      <c r="AQ151" t="s">
        <v>16</v>
      </c>
      <c r="AR151" t="s">
        <v>2815</v>
      </c>
      <c r="AS151" t="s">
        <v>2832</v>
      </c>
      <c r="AT151" t="s">
        <v>1233</v>
      </c>
      <c r="AU151">
        <v>2020</v>
      </c>
      <c r="AV151">
        <v>110</v>
      </c>
      <c r="AW151">
        <v>4</v>
      </c>
      <c r="AX151" t="s">
        <v>16</v>
      </c>
      <c r="AY151" t="s">
        <v>16</v>
      </c>
      <c r="AZ151" t="s">
        <v>16</v>
      </c>
      <c r="BA151" t="s">
        <v>16</v>
      </c>
      <c r="BB151">
        <v>734</v>
      </c>
      <c r="BC151">
        <v>743</v>
      </c>
      <c r="BD151" t="s">
        <v>16</v>
      </c>
      <c r="BE151" t="s">
        <v>2833</v>
      </c>
      <c r="BF151" t="str">
        <f>HYPERLINK("http://dx.doi.org/10.1094/PHYTO-10-18-0372-R","http://dx.doi.org/10.1094/PHYTO-10-18-0372-R")</f>
        <v>http://dx.doi.org/10.1094/PHYTO-10-18-0372-R</v>
      </c>
      <c r="BG151" t="s">
        <v>16</v>
      </c>
      <c r="BH151" t="s">
        <v>16</v>
      </c>
      <c r="BI151">
        <v>10</v>
      </c>
      <c r="BJ151" t="s">
        <v>214</v>
      </c>
      <c r="BK151" t="s">
        <v>73</v>
      </c>
      <c r="BL151" t="s">
        <v>214</v>
      </c>
      <c r="BM151" t="s">
        <v>2834</v>
      </c>
      <c r="BN151">
        <v>31859585</v>
      </c>
      <c r="BO151" t="s">
        <v>937</v>
      </c>
      <c r="BP151" t="s">
        <v>16</v>
      </c>
      <c r="BQ151" t="s">
        <v>16</v>
      </c>
      <c r="BR151" t="s">
        <v>44</v>
      </c>
      <c r="BS151" t="s">
        <v>2835</v>
      </c>
      <c r="BT151" t="str">
        <f>HYPERLINK("https%3A%2F%2Fwww.webofscience.com%2Fwos%2Fwoscc%2Ffull-record%2FWOS:000589985600004","View Full Record in Web of Science")</f>
        <v>View Full Record in Web of Science</v>
      </c>
    </row>
    <row r="152" spans="1:72" x14ac:dyDescent="0.2">
      <c r="A152" t="s">
        <v>46</v>
      </c>
      <c r="B152" t="s">
        <v>2836</v>
      </c>
      <c r="C152" t="s">
        <v>16</v>
      </c>
      <c r="D152" t="s">
        <v>16</v>
      </c>
      <c r="E152" t="s">
        <v>16</v>
      </c>
      <c r="F152" t="s">
        <v>2837</v>
      </c>
      <c r="G152" t="s">
        <v>16</v>
      </c>
      <c r="H152" t="s">
        <v>16</v>
      </c>
      <c r="I152" t="s">
        <v>2838</v>
      </c>
      <c r="J152" t="s">
        <v>368</v>
      </c>
      <c r="K152" t="s">
        <v>16</v>
      </c>
      <c r="L152" t="s">
        <v>16</v>
      </c>
      <c r="M152" t="s">
        <v>22</v>
      </c>
      <c r="N152" t="s">
        <v>51</v>
      </c>
      <c r="O152" t="s">
        <v>16</v>
      </c>
      <c r="P152" t="s">
        <v>16</v>
      </c>
      <c r="Q152" t="s">
        <v>16</v>
      </c>
      <c r="R152" t="s">
        <v>16</v>
      </c>
      <c r="S152" t="s">
        <v>16</v>
      </c>
      <c r="T152" t="s">
        <v>16</v>
      </c>
      <c r="U152" t="s">
        <v>2839</v>
      </c>
      <c r="V152" t="s">
        <v>2840</v>
      </c>
      <c r="W152" t="s">
        <v>2841</v>
      </c>
      <c r="X152" t="s">
        <v>2842</v>
      </c>
      <c r="Y152" t="s">
        <v>2843</v>
      </c>
      <c r="Z152" t="s">
        <v>2844</v>
      </c>
      <c r="AA152" t="s">
        <v>2845</v>
      </c>
      <c r="AB152" t="s">
        <v>2846</v>
      </c>
      <c r="AC152" t="s">
        <v>2847</v>
      </c>
      <c r="AD152" t="s">
        <v>2848</v>
      </c>
      <c r="AE152" t="s">
        <v>2849</v>
      </c>
      <c r="AF152" t="s">
        <v>16</v>
      </c>
      <c r="AG152">
        <v>47</v>
      </c>
      <c r="AH152">
        <v>69</v>
      </c>
      <c r="AI152">
        <v>86</v>
      </c>
      <c r="AJ152">
        <v>3</v>
      </c>
      <c r="AK152">
        <v>41</v>
      </c>
      <c r="AL152" t="s">
        <v>375</v>
      </c>
      <c r="AM152" t="s">
        <v>376</v>
      </c>
      <c r="AN152" t="s">
        <v>377</v>
      </c>
      <c r="AO152" t="s">
        <v>378</v>
      </c>
      <c r="AP152" t="s">
        <v>379</v>
      </c>
      <c r="AQ152" t="s">
        <v>16</v>
      </c>
      <c r="AR152" t="s">
        <v>368</v>
      </c>
      <c r="AS152" t="s">
        <v>380</v>
      </c>
      <c r="AT152" t="s">
        <v>812</v>
      </c>
      <c r="AU152">
        <v>2017</v>
      </c>
      <c r="AV152">
        <v>119</v>
      </c>
      <c r="AW152">
        <v>3</v>
      </c>
      <c r="AX152" t="s">
        <v>16</v>
      </c>
      <c r="AY152" t="s">
        <v>16</v>
      </c>
      <c r="AZ152" t="s">
        <v>16</v>
      </c>
      <c r="BA152" t="s">
        <v>16</v>
      </c>
      <c r="BB152">
        <v>174</v>
      </c>
      <c r="BC152">
        <v>184</v>
      </c>
      <c r="BD152" t="s">
        <v>16</v>
      </c>
      <c r="BE152" t="s">
        <v>2850</v>
      </c>
      <c r="BF152" t="str">
        <f>HYPERLINK("http://dx.doi.org/10.1038/hdy.2017.27","http://dx.doi.org/10.1038/hdy.2017.27")</f>
        <v>http://dx.doi.org/10.1038/hdy.2017.27</v>
      </c>
      <c r="BG152" t="s">
        <v>16</v>
      </c>
      <c r="BH152" t="s">
        <v>16</v>
      </c>
      <c r="BI152">
        <v>11</v>
      </c>
      <c r="BJ152" t="s">
        <v>296</v>
      </c>
      <c r="BK152" t="s">
        <v>73</v>
      </c>
      <c r="BL152" t="s">
        <v>383</v>
      </c>
      <c r="BM152" t="s">
        <v>2851</v>
      </c>
      <c r="BN152">
        <v>28590463</v>
      </c>
      <c r="BO152" t="s">
        <v>2852</v>
      </c>
      <c r="BP152" t="s">
        <v>16</v>
      </c>
      <c r="BQ152" t="s">
        <v>16</v>
      </c>
      <c r="BR152" t="s">
        <v>44</v>
      </c>
      <c r="BS152" t="s">
        <v>2853</v>
      </c>
      <c r="BT152" t="str">
        <f>HYPERLINK("https%3A%2F%2Fwww.webofscience.com%2Fwos%2Fwoscc%2Ffull-record%2FWOS:000407362100006","View Full Record in Web of Science")</f>
        <v>View Full Record in Web of Science</v>
      </c>
    </row>
    <row r="153" spans="1:72" x14ac:dyDescent="0.2">
      <c r="A153" t="s">
        <v>46</v>
      </c>
      <c r="B153" t="s">
        <v>2854</v>
      </c>
      <c r="C153" t="s">
        <v>16</v>
      </c>
      <c r="D153" t="s">
        <v>16</v>
      </c>
      <c r="E153" t="s">
        <v>16</v>
      </c>
      <c r="F153" t="s">
        <v>2854</v>
      </c>
      <c r="G153" t="s">
        <v>16</v>
      </c>
      <c r="H153" t="s">
        <v>16</v>
      </c>
      <c r="I153" t="s">
        <v>2855</v>
      </c>
      <c r="J153" t="s">
        <v>50</v>
      </c>
      <c r="K153" t="s">
        <v>16</v>
      </c>
      <c r="L153" t="s">
        <v>16</v>
      </c>
      <c r="M153" t="s">
        <v>22</v>
      </c>
      <c r="N153" t="s">
        <v>51</v>
      </c>
      <c r="O153" t="s">
        <v>16</v>
      </c>
      <c r="P153" t="s">
        <v>16</v>
      </c>
      <c r="Q153" t="s">
        <v>16</v>
      </c>
      <c r="R153" t="s">
        <v>16</v>
      </c>
      <c r="S153" t="s">
        <v>16</v>
      </c>
      <c r="T153" t="s">
        <v>16</v>
      </c>
      <c r="U153" t="s">
        <v>16</v>
      </c>
      <c r="V153" t="s">
        <v>2856</v>
      </c>
      <c r="W153" t="s">
        <v>2857</v>
      </c>
      <c r="X153" t="s">
        <v>2858</v>
      </c>
      <c r="Y153" t="s">
        <v>2859</v>
      </c>
      <c r="Z153" t="s">
        <v>2860</v>
      </c>
      <c r="AA153" t="s">
        <v>2861</v>
      </c>
      <c r="AB153" t="s">
        <v>1259</v>
      </c>
      <c r="AC153" t="s">
        <v>16</v>
      </c>
      <c r="AD153" t="s">
        <v>16</v>
      </c>
      <c r="AE153" t="s">
        <v>16</v>
      </c>
      <c r="AF153" t="s">
        <v>16</v>
      </c>
      <c r="AG153">
        <v>9</v>
      </c>
      <c r="AH153">
        <v>69</v>
      </c>
      <c r="AI153">
        <v>82</v>
      </c>
      <c r="AJ153">
        <v>1</v>
      </c>
      <c r="AK153">
        <v>17</v>
      </c>
      <c r="AL153" t="s">
        <v>107</v>
      </c>
      <c r="AM153" t="s">
        <v>108</v>
      </c>
      <c r="AN153" t="s">
        <v>109</v>
      </c>
      <c r="AO153" t="s">
        <v>66</v>
      </c>
      <c r="AP153" t="s">
        <v>16</v>
      </c>
      <c r="AQ153" t="s">
        <v>16</v>
      </c>
      <c r="AR153" t="s">
        <v>68</v>
      </c>
      <c r="AS153" t="s">
        <v>69</v>
      </c>
      <c r="AT153" t="s">
        <v>990</v>
      </c>
      <c r="AU153">
        <v>2003</v>
      </c>
      <c r="AV153">
        <v>43</v>
      </c>
      <c r="AW153">
        <v>3</v>
      </c>
      <c r="AX153" t="s">
        <v>16</v>
      </c>
      <c r="AY153" t="s">
        <v>16</v>
      </c>
      <c r="AZ153" t="s">
        <v>16</v>
      </c>
      <c r="BA153" t="s">
        <v>16</v>
      </c>
      <c r="BB153">
        <v>829</v>
      </c>
      <c r="BC153">
        <v>834</v>
      </c>
      <c r="BD153" t="s">
        <v>16</v>
      </c>
      <c r="BE153" t="s">
        <v>16</v>
      </c>
      <c r="BF153" t="s">
        <v>16</v>
      </c>
      <c r="BG153" t="s">
        <v>16</v>
      </c>
      <c r="BH153" t="s">
        <v>16</v>
      </c>
      <c r="BI153">
        <v>6</v>
      </c>
      <c r="BJ153" t="s">
        <v>40</v>
      </c>
      <c r="BK153" t="s">
        <v>73</v>
      </c>
      <c r="BL153" t="s">
        <v>42</v>
      </c>
      <c r="BM153" t="s">
        <v>2862</v>
      </c>
      <c r="BN153" t="s">
        <v>16</v>
      </c>
      <c r="BO153" t="s">
        <v>16</v>
      </c>
      <c r="BP153" t="s">
        <v>16</v>
      </c>
      <c r="BQ153" t="s">
        <v>16</v>
      </c>
      <c r="BR153" t="s">
        <v>44</v>
      </c>
      <c r="BS153" t="s">
        <v>2863</v>
      </c>
      <c r="BT153" t="str">
        <f>HYPERLINK("https%3A%2F%2Fwww.webofscience.com%2Fwos%2Fwoscc%2Ffull-record%2FWOS:000182540300011","View Full Record in Web of Science")</f>
        <v>View Full Record in Web of Science</v>
      </c>
    </row>
    <row r="154" spans="1:72" x14ac:dyDescent="0.2">
      <c r="A154" t="s">
        <v>46</v>
      </c>
      <c r="B154" t="s">
        <v>2864</v>
      </c>
      <c r="C154" t="s">
        <v>16</v>
      </c>
      <c r="D154" t="s">
        <v>16</v>
      </c>
      <c r="E154" t="s">
        <v>16</v>
      </c>
      <c r="F154" t="s">
        <v>2864</v>
      </c>
      <c r="G154" t="s">
        <v>16</v>
      </c>
      <c r="H154" t="s">
        <v>16</v>
      </c>
      <c r="I154" t="s">
        <v>2865</v>
      </c>
      <c r="J154" t="s">
        <v>1453</v>
      </c>
      <c r="K154" t="s">
        <v>16</v>
      </c>
      <c r="L154" t="s">
        <v>16</v>
      </c>
      <c r="M154" t="s">
        <v>22</v>
      </c>
      <c r="N154" t="s">
        <v>428</v>
      </c>
      <c r="O154" t="s">
        <v>2866</v>
      </c>
      <c r="P154" t="s">
        <v>2867</v>
      </c>
      <c r="Q154" t="s">
        <v>2868</v>
      </c>
      <c r="R154" t="s">
        <v>16</v>
      </c>
      <c r="S154" t="s">
        <v>16</v>
      </c>
      <c r="T154" t="s">
        <v>16</v>
      </c>
      <c r="U154" t="s">
        <v>2869</v>
      </c>
      <c r="V154" t="s">
        <v>2870</v>
      </c>
      <c r="W154" t="s">
        <v>2871</v>
      </c>
      <c r="X154" t="s">
        <v>2872</v>
      </c>
      <c r="Y154" t="s">
        <v>2873</v>
      </c>
      <c r="Z154" t="s">
        <v>2874</v>
      </c>
      <c r="AA154" t="s">
        <v>2875</v>
      </c>
      <c r="AB154" t="s">
        <v>16</v>
      </c>
      <c r="AC154" t="s">
        <v>16</v>
      </c>
      <c r="AD154" t="s">
        <v>16</v>
      </c>
      <c r="AE154" t="s">
        <v>16</v>
      </c>
      <c r="AF154" t="s">
        <v>16</v>
      </c>
      <c r="AG154">
        <v>36</v>
      </c>
      <c r="AH154">
        <v>44</v>
      </c>
      <c r="AI154">
        <v>48</v>
      </c>
      <c r="AJ154">
        <v>0</v>
      </c>
      <c r="AK154">
        <v>14</v>
      </c>
      <c r="AL154" t="s">
        <v>63</v>
      </c>
      <c r="AM154" t="s">
        <v>64</v>
      </c>
      <c r="AN154" t="s">
        <v>65</v>
      </c>
      <c r="AO154" t="s">
        <v>1460</v>
      </c>
      <c r="AP154" t="s">
        <v>1461</v>
      </c>
      <c r="AQ154" t="s">
        <v>16</v>
      </c>
      <c r="AR154" t="s">
        <v>1462</v>
      </c>
      <c r="AS154" t="s">
        <v>1463</v>
      </c>
      <c r="AT154" t="s">
        <v>187</v>
      </c>
      <c r="AU154">
        <v>2003</v>
      </c>
      <c r="AV154">
        <v>95</v>
      </c>
      <c r="AW154">
        <v>1</v>
      </c>
      <c r="AX154" t="s">
        <v>16</v>
      </c>
      <c r="AY154" t="s">
        <v>16</v>
      </c>
      <c r="AZ154" t="s">
        <v>16</v>
      </c>
      <c r="BA154" t="s">
        <v>16</v>
      </c>
      <c r="BB154">
        <v>82</v>
      </c>
      <c r="BC154">
        <v>89</v>
      </c>
      <c r="BD154" t="s">
        <v>16</v>
      </c>
      <c r="BE154" t="s">
        <v>2876</v>
      </c>
      <c r="BF154" t="str">
        <f>HYPERLINK("http://dx.doi.org/10.2134/agronj2003.0082","http://dx.doi.org/10.2134/agronj2003.0082")</f>
        <v>http://dx.doi.org/10.2134/agronj2003.0082</v>
      </c>
      <c r="BG154" t="s">
        <v>16</v>
      </c>
      <c r="BH154" t="s">
        <v>16</v>
      </c>
      <c r="BI154">
        <v>8</v>
      </c>
      <c r="BJ154" t="s">
        <v>40</v>
      </c>
      <c r="BK154" t="s">
        <v>1827</v>
      </c>
      <c r="BL154" t="s">
        <v>42</v>
      </c>
      <c r="BM154" t="s">
        <v>2877</v>
      </c>
      <c r="BN154" t="s">
        <v>16</v>
      </c>
      <c r="BO154" t="s">
        <v>16</v>
      </c>
      <c r="BP154" t="s">
        <v>16</v>
      </c>
      <c r="BQ154" t="s">
        <v>16</v>
      </c>
      <c r="BR154" t="s">
        <v>44</v>
      </c>
      <c r="BS154" t="s">
        <v>2878</v>
      </c>
      <c r="BT154" t="str">
        <f>HYPERLINK("https%3A%2F%2Fwww.webofscience.com%2Fwos%2Fwoscc%2Ffull-record%2FWOS:000182261000009","View Full Record in Web of Science")</f>
        <v>View Full Record in Web of Science</v>
      </c>
    </row>
    <row r="155" spans="1:72" x14ac:dyDescent="0.2">
      <c r="A155" t="s">
        <v>46</v>
      </c>
      <c r="B155" t="s">
        <v>2879</v>
      </c>
      <c r="C155" t="s">
        <v>16</v>
      </c>
      <c r="D155" t="s">
        <v>16</v>
      </c>
      <c r="E155" t="s">
        <v>16</v>
      </c>
      <c r="F155" t="s">
        <v>2879</v>
      </c>
      <c r="G155" t="s">
        <v>16</v>
      </c>
      <c r="H155" t="s">
        <v>16</v>
      </c>
      <c r="I155" t="s">
        <v>2880</v>
      </c>
      <c r="J155" t="s">
        <v>630</v>
      </c>
      <c r="K155" t="s">
        <v>16</v>
      </c>
      <c r="L155" t="s">
        <v>16</v>
      </c>
      <c r="M155" t="s">
        <v>22</v>
      </c>
      <c r="N155" t="s">
        <v>51</v>
      </c>
      <c r="O155" t="s">
        <v>16</v>
      </c>
      <c r="P155" t="s">
        <v>16</v>
      </c>
      <c r="Q155" t="s">
        <v>16</v>
      </c>
      <c r="R155" t="s">
        <v>16</v>
      </c>
      <c r="S155" t="s">
        <v>16</v>
      </c>
      <c r="T155" t="s">
        <v>2881</v>
      </c>
      <c r="U155" t="s">
        <v>2882</v>
      </c>
      <c r="V155" t="s">
        <v>2883</v>
      </c>
      <c r="W155" t="s">
        <v>2884</v>
      </c>
      <c r="X155" t="s">
        <v>2885</v>
      </c>
      <c r="Y155" t="s">
        <v>2886</v>
      </c>
      <c r="Z155" t="s">
        <v>2887</v>
      </c>
      <c r="AA155" t="s">
        <v>1837</v>
      </c>
      <c r="AB155" t="s">
        <v>1838</v>
      </c>
      <c r="AC155" t="s">
        <v>16</v>
      </c>
      <c r="AD155" t="s">
        <v>16</v>
      </c>
      <c r="AE155" t="s">
        <v>16</v>
      </c>
      <c r="AF155" t="s">
        <v>16</v>
      </c>
      <c r="AG155">
        <v>27</v>
      </c>
      <c r="AH155">
        <v>27</v>
      </c>
      <c r="AI155">
        <v>32</v>
      </c>
      <c r="AJ155">
        <v>0</v>
      </c>
      <c r="AK155">
        <v>12</v>
      </c>
      <c r="AL155" t="s">
        <v>638</v>
      </c>
      <c r="AM155" t="s">
        <v>639</v>
      </c>
      <c r="AN155" t="s">
        <v>640</v>
      </c>
      <c r="AO155" t="s">
        <v>641</v>
      </c>
      <c r="AP155" t="s">
        <v>642</v>
      </c>
      <c r="AQ155" t="s">
        <v>16</v>
      </c>
      <c r="AR155" t="s">
        <v>643</v>
      </c>
      <c r="AS155" t="s">
        <v>644</v>
      </c>
      <c r="AT155" t="s">
        <v>16</v>
      </c>
      <c r="AU155">
        <v>2005</v>
      </c>
      <c r="AV155">
        <v>56</v>
      </c>
      <c r="AW155">
        <v>5</v>
      </c>
      <c r="AX155" t="s">
        <v>16</v>
      </c>
      <c r="AY155" t="s">
        <v>16</v>
      </c>
      <c r="AZ155" t="s">
        <v>16</v>
      </c>
      <c r="BA155" t="s">
        <v>16</v>
      </c>
      <c r="BB155">
        <v>465</v>
      </c>
      <c r="BC155">
        <v>473</v>
      </c>
      <c r="BD155" t="s">
        <v>16</v>
      </c>
      <c r="BE155" t="s">
        <v>2888</v>
      </c>
      <c r="BF155" t="str">
        <f>HYPERLINK("http://dx.doi.org/10.1071/AR04285","http://dx.doi.org/10.1071/AR04285")</f>
        <v>http://dx.doi.org/10.1071/AR04285</v>
      </c>
      <c r="BG155" t="s">
        <v>16</v>
      </c>
      <c r="BH155" t="s">
        <v>16</v>
      </c>
      <c r="BI155">
        <v>9</v>
      </c>
      <c r="BJ155" t="s">
        <v>296</v>
      </c>
      <c r="BK155" t="s">
        <v>73</v>
      </c>
      <c r="BL155" t="s">
        <v>42</v>
      </c>
      <c r="BM155" t="s">
        <v>2889</v>
      </c>
      <c r="BN155" t="s">
        <v>16</v>
      </c>
      <c r="BO155" t="s">
        <v>16</v>
      </c>
      <c r="BP155" t="s">
        <v>16</v>
      </c>
      <c r="BQ155" t="s">
        <v>16</v>
      </c>
      <c r="BR155" t="s">
        <v>44</v>
      </c>
      <c r="BS155" t="s">
        <v>2890</v>
      </c>
      <c r="BT155" t="str">
        <f>HYPERLINK("https%3A%2F%2Fwww.webofscience.com%2Fwos%2Fwoscc%2Ffull-record%2FWOS:000229398200005","View Full Record in Web of Science")</f>
        <v>View Full Record in Web of Science</v>
      </c>
    </row>
    <row r="156" spans="1:72" x14ac:dyDescent="0.2">
      <c r="A156" t="s">
        <v>46</v>
      </c>
      <c r="B156" t="s">
        <v>2891</v>
      </c>
      <c r="C156" t="s">
        <v>16</v>
      </c>
      <c r="D156" t="s">
        <v>16</v>
      </c>
      <c r="E156" t="s">
        <v>16</v>
      </c>
      <c r="F156" t="s">
        <v>2892</v>
      </c>
      <c r="G156" t="s">
        <v>16</v>
      </c>
      <c r="H156" t="s">
        <v>16</v>
      </c>
      <c r="I156" t="s">
        <v>2893</v>
      </c>
      <c r="J156" t="s">
        <v>82</v>
      </c>
      <c r="K156" t="s">
        <v>16</v>
      </c>
      <c r="L156" t="s">
        <v>16</v>
      </c>
      <c r="M156" t="s">
        <v>22</v>
      </c>
      <c r="N156" t="s">
        <v>51</v>
      </c>
      <c r="O156" t="s">
        <v>16</v>
      </c>
      <c r="P156" t="s">
        <v>16</v>
      </c>
      <c r="Q156" t="s">
        <v>16</v>
      </c>
      <c r="R156" t="s">
        <v>16</v>
      </c>
      <c r="S156" t="s">
        <v>16</v>
      </c>
      <c r="T156" t="s">
        <v>2894</v>
      </c>
      <c r="U156" t="s">
        <v>2895</v>
      </c>
      <c r="V156" t="s">
        <v>2896</v>
      </c>
      <c r="W156" t="s">
        <v>2897</v>
      </c>
      <c r="X156" t="s">
        <v>2898</v>
      </c>
      <c r="Y156" t="s">
        <v>2899</v>
      </c>
      <c r="Z156" t="s">
        <v>2900</v>
      </c>
      <c r="AA156" t="s">
        <v>16</v>
      </c>
      <c r="AB156" t="s">
        <v>2901</v>
      </c>
      <c r="AC156" t="s">
        <v>2902</v>
      </c>
      <c r="AD156" t="s">
        <v>2903</v>
      </c>
      <c r="AE156" t="s">
        <v>2904</v>
      </c>
      <c r="AF156" t="s">
        <v>16</v>
      </c>
      <c r="AG156">
        <v>35</v>
      </c>
      <c r="AH156">
        <v>21</v>
      </c>
      <c r="AI156">
        <v>23</v>
      </c>
      <c r="AJ156">
        <v>1</v>
      </c>
      <c r="AK156">
        <v>23</v>
      </c>
      <c r="AL156" t="s">
        <v>2905</v>
      </c>
      <c r="AM156" t="s">
        <v>64</v>
      </c>
      <c r="AN156" t="s">
        <v>65</v>
      </c>
      <c r="AO156" t="s">
        <v>316</v>
      </c>
      <c r="AP156" t="s">
        <v>2547</v>
      </c>
      <c r="AQ156" t="s">
        <v>16</v>
      </c>
      <c r="AR156" t="s">
        <v>82</v>
      </c>
      <c r="AS156" t="s">
        <v>317</v>
      </c>
      <c r="AT156" t="s">
        <v>318</v>
      </c>
      <c r="AU156">
        <v>2015</v>
      </c>
      <c r="AV156">
        <v>134</v>
      </c>
      <c r="AW156">
        <v>6</v>
      </c>
      <c r="AX156" t="s">
        <v>16</v>
      </c>
      <c r="AY156" t="s">
        <v>16</v>
      </c>
      <c r="AZ156" t="s">
        <v>16</v>
      </c>
      <c r="BA156" t="s">
        <v>16</v>
      </c>
      <c r="BB156">
        <v>623</v>
      </c>
      <c r="BC156">
        <v>630</v>
      </c>
      <c r="BD156" t="s">
        <v>16</v>
      </c>
      <c r="BE156" t="s">
        <v>2906</v>
      </c>
      <c r="BF156" t="str">
        <f>HYPERLINK("http://dx.doi.org/10.1111/pbr.12317","http://dx.doi.org/10.1111/pbr.12317")</f>
        <v>http://dx.doi.org/10.1111/pbr.12317</v>
      </c>
      <c r="BG156" t="s">
        <v>16</v>
      </c>
      <c r="BH156" t="s">
        <v>16</v>
      </c>
      <c r="BI156">
        <v>8</v>
      </c>
      <c r="BJ156" t="s">
        <v>296</v>
      </c>
      <c r="BK156" t="s">
        <v>73</v>
      </c>
      <c r="BL156" t="s">
        <v>320</v>
      </c>
      <c r="BM156" t="s">
        <v>2907</v>
      </c>
      <c r="BN156" t="s">
        <v>16</v>
      </c>
      <c r="BO156" t="s">
        <v>16</v>
      </c>
      <c r="BP156" t="s">
        <v>16</v>
      </c>
      <c r="BQ156" t="s">
        <v>16</v>
      </c>
      <c r="BR156" t="s">
        <v>44</v>
      </c>
      <c r="BS156" t="s">
        <v>2908</v>
      </c>
      <c r="BT156" t="str">
        <f>HYPERLINK("https%3A%2F%2Fwww.webofscience.com%2Fwos%2Fwoscc%2Ffull-record%2FWOS:000368267000001","View Full Record in Web of Science")</f>
        <v>View Full Record in Web of Science</v>
      </c>
    </row>
    <row r="157" spans="1:72" x14ac:dyDescent="0.2">
      <c r="A157" t="s">
        <v>14</v>
      </c>
      <c r="B157" t="s">
        <v>2909</v>
      </c>
      <c r="C157" t="s">
        <v>16</v>
      </c>
      <c r="D157" t="s">
        <v>2910</v>
      </c>
      <c r="E157" t="s">
        <v>16</v>
      </c>
      <c r="F157" t="s">
        <v>2911</v>
      </c>
      <c r="G157" t="s">
        <v>16</v>
      </c>
      <c r="H157" t="s">
        <v>16</v>
      </c>
      <c r="I157" t="s">
        <v>2912</v>
      </c>
      <c r="J157" t="s">
        <v>2913</v>
      </c>
      <c r="K157" t="s">
        <v>2914</v>
      </c>
      <c r="L157" t="s">
        <v>16</v>
      </c>
      <c r="M157" t="s">
        <v>22</v>
      </c>
      <c r="N157" t="s">
        <v>83</v>
      </c>
      <c r="O157" t="s">
        <v>16</v>
      </c>
      <c r="P157" t="s">
        <v>16</v>
      </c>
      <c r="Q157" t="s">
        <v>16</v>
      </c>
      <c r="R157" t="s">
        <v>16</v>
      </c>
      <c r="S157" t="s">
        <v>16</v>
      </c>
      <c r="T157" t="s">
        <v>2915</v>
      </c>
      <c r="U157" t="s">
        <v>2916</v>
      </c>
      <c r="V157" t="s">
        <v>2917</v>
      </c>
      <c r="W157" t="s">
        <v>2918</v>
      </c>
      <c r="X157" t="s">
        <v>2919</v>
      </c>
      <c r="Y157" t="s">
        <v>2920</v>
      </c>
      <c r="Z157" t="s">
        <v>2921</v>
      </c>
      <c r="AA157" t="s">
        <v>2922</v>
      </c>
      <c r="AB157" t="s">
        <v>2923</v>
      </c>
      <c r="AC157" t="s">
        <v>16</v>
      </c>
      <c r="AD157" t="s">
        <v>16</v>
      </c>
      <c r="AE157" t="s">
        <v>16</v>
      </c>
      <c r="AF157" t="s">
        <v>16</v>
      </c>
      <c r="AG157">
        <v>85</v>
      </c>
      <c r="AH157">
        <v>5</v>
      </c>
      <c r="AI157">
        <v>5</v>
      </c>
      <c r="AJ157">
        <v>0</v>
      </c>
      <c r="AK157">
        <v>11</v>
      </c>
      <c r="AL157" t="s">
        <v>2924</v>
      </c>
      <c r="AM157" t="s">
        <v>2925</v>
      </c>
      <c r="AN157" t="s">
        <v>2926</v>
      </c>
      <c r="AO157" t="s">
        <v>2927</v>
      </c>
      <c r="AP157" t="s">
        <v>2928</v>
      </c>
      <c r="AQ157" t="s">
        <v>2929</v>
      </c>
      <c r="AR157" t="s">
        <v>2930</v>
      </c>
      <c r="AS157" t="s">
        <v>2931</v>
      </c>
      <c r="AT157" t="s">
        <v>16</v>
      </c>
      <c r="AU157">
        <v>2016</v>
      </c>
      <c r="AV157">
        <v>939</v>
      </c>
      <c r="AW157" t="s">
        <v>16</v>
      </c>
      <c r="AX157" t="s">
        <v>16</v>
      </c>
      <c r="AY157" t="s">
        <v>16</v>
      </c>
      <c r="AZ157" t="s">
        <v>16</v>
      </c>
      <c r="BA157" t="s">
        <v>16</v>
      </c>
      <c r="BB157">
        <v>39</v>
      </c>
      <c r="BC157">
        <v>61</v>
      </c>
      <c r="BD157" t="s">
        <v>16</v>
      </c>
      <c r="BE157" t="s">
        <v>2932</v>
      </c>
      <c r="BF157" t="str">
        <f>HYPERLINK("http://dx.doi.org/10.1007/978-981-10-1503-8_3","http://dx.doi.org/10.1007/978-981-10-1503-8_3")</f>
        <v>http://dx.doi.org/10.1007/978-981-10-1503-8_3</v>
      </c>
      <c r="BG157" t="s">
        <v>2933</v>
      </c>
      <c r="BH157" t="s">
        <v>16</v>
      </c>
      <c r="BI157">
        <v>23</v>
      </c>
      <c r="BJ157" t="s">
        <v>296</v>
      </c>
      <c r="BK157" t="s">
        <v>41</v>
      </c>
      <c r="BL157" t="s">
        <v>2934</v>
      </c>
      <c r="BM157" t="s">
        <v>2935</v>
      </c>
      <c r="BN157">
        <v>27807743</v>
      </c>
      <c r="BO157" t="s">
        <v>2307</v>
      </c>
      <c r="BP157" t="s">
        <v>16</v>
      </c>
      <c r="BQ157" t="s">
        <v>16</v>
      </c>
      <c r="BR157" t="s">
        <v>44</v>
      </c>
      <c r="BS157" t="s">
        <v>2936</v>
      </c>
      <c r="BT157" t="str">
        <f>HYPERLINK("https%3A%2F%2Fwww.webofscience.com%2Fwos%2Fwoscc%2Ffull-record%2FWOS:000401014700003","View Full Record in Web of Science")</f>
        <v>View Full Record in Web of Science</v>
      </c>
    </row>
    <row r="158" spans="1:72" x14ac:dyDescent="0.2">
      <c r="A158" t="s">
        <v>46</v>
      </c>
      <c r="B158" t="s">
        <v>2937</v>
      </c>
      <c r="C158" t="s">
        <v>16</v>
      </c>
      <c r="D158" t="s">
        <v>16</v>
      </c>
      <c r="E158" t="s">
        <v>16</v>
      </c>
      <c r="F158" t="s">
        <v>2938</v>
      </c>
      <c r="G158" t="s">
        <v>16</v>
      </c>
      <c r="H158" t="s">
        <v>16</v>
      </c>
      <c r="I158" t="s">
        <v>2939</v>
      </c>
      <c r="J158" t="s">
        <v>734</v>
      </c>
      <c r="K158" t="s">
        <v>16</v>
      </c>
      <c r="L158" t="s">
        <v>16</v>
      </c>
      <c r="M158" t="s">
        <v>22</v>
      </c>
      <c r="N158" t="s">
        <v>51</v>
      </c>
      <c r="O158" t="s">
        <v>16</v>
      </c>
      <c r="P158" t="s">
        <v>16</v>
      </c>
      <c r="Q158" t="s">
        <v>16</v>
      </c>
      <c r="R158" t="s">
        <v>16</v>
      </c>
      <c r="S158" t="s">
        <v>16</v>
      </c>
      <c r="T158" t="s">
        <v>2940</v>
      </c>
      <c r="U158" t="s">
        <v>2941</v>
      </c>
      <c r="V158" t="s">
        <v>2942</v>
      </c>
      <c r="W158" t="s">
        <v>2943</v>
      </c>
      <c r="X158" t="s">
        <v>2944</v>
      </c>
      <c r="Y158" t="s">
        <v>2945</v>
      </c>
      <c r="Z158" t="s">
        <v>2946</v>
      </c>
      <c r="AA158" t="s">
        <v>2947</v>
      </c>
      <c r="AB158" t="s">
        <v>2948</v>
      </c>
      <c r="AC158" t="s">
        <v>2949</v>
      </c>
      <c r="AD158" t="s">
        <v>2950</v>
      </c>
      <c r="AE158" t="s">
        <v>2951</v>
      </c>
      <c r="AF158" t="s">
        <v>16</v>
      </c>
      <c r="AG158">
        <v>37</v>
      </c>
      <c r="AH158">
        <v>6</v>
      </c>
      <c r="AI158">
        <v>7</v>
      </c>
      <c r="AJ158">
        <v>0</v>
      </c>
      <c r="AK158">
        <v>2</v>
      </c>
      <c r="AL158" t="s">
        <v>745</v>
      </c>
      <c r="AM158" t="s">
        <v>746</v>
      </c>
      <c r="AN158" t="s">
        <v>747</v>
      </c>
      <c r="AO158" t="s">
        <v>748</v>
      </c>
      <c r="AP158" t="s">
        <v>16</v>
      </c>
      <c r="AQ158" t="s">
        <v>16</v>
      </c>
      <c r="AR158" t="s">
        <v>749</v>
      </c>
      <c r="AS158" t="s">
        <v>750</v>
      </c>
      <c r="AT158" t="s">
        <v>1138</v>
      </c>
      <c r="AU158">
        <v>2020</v>
      </c>
      <c r="AV158">
        <v>10</v>
      </c>
      <c r="AW158">
        <v>7</v>
      </c>
      <c r="AX158" t="s">
        <v>16</v>
      </c>
      <c r="AY158" t="s">
        <v>16</v>
      </c>
      <c r="AZ158" t="s">
        <v>16</v>
      </c>
      <c r="BA158" t="s">
        <v>16</v>
      </c>
      <c r="BB158">
        <v>2445</v>
      </c>
      <c r="BC158">
        <v>2455</v>
      </c>
      <c r="BD158" t="s">
        <v>16</v>
      </c>
      <c r="BE158" t="s">
        <v>2952</v>
      </c>
      <c r="BF158" t="str">
        <f>HYPERLINK("http://dx.doi.org/10.1534/g3.120.401132","http://dx.doi.org/10.1534/g3.120.401132")</f>
        <v>http://dx.doi.org/10.1534/g3.120.401132</v>
      </c>
      <c r="BG158" t="s">
        <v>16</v>
      </c>
      <c r="BH158" t="s">
        <v>16</v>
      </c>
      <c r="BI158">
        <v>11</v>
      </c>
      <c r="BJ158" t="s">
        <v>339</v>
      </c>
      <c r="BK158" t="s">
        <v>73</v>
      </c>
      <c r="BL158" t="s">
        <v>339</v>
      </c>
      <c r="BM158" t="s">
        <v>2953</v>
      </c>
      <c r="BN158">
        <v>32430306</v>
      </c>
      <c r="BO158" t="s">
        <v>2954</v>
      </c>
      <c r="BP158" t="s">
        <v>16</v>
      </c>
      <c r="BQ158" t="s">
        <v>16</v>
      </c>
      <c r="BR158" t="s">
        <v>44</v>
      </c>
      <c r="BS158" t="s">
        <v>2955</v>
      </c>
      <c r="BT158" t="str">
        <f>HYPERLINK("https%3A%2F%2Fwww.webofscience.com%2Fwos%2Fwoscc%2Ffull-record%2FWOS:000551887900028","View Full Record in Web of Science")</f>
        <v>View Full Record in Web of Science</v>
      </c>
    </row>
    <row r="159" spans="1:72" x14ac:dyDescent="0.2">
      <c r="A159" t="s">
        <v>14</v>
      </c>
      <c r="B159" t="s">
        <v>2956</v>
      </c>
      <c r="C159" t="s">
        <v>16</v>
      </c>
      <c r="D159" t="s">
        <v>2957</v>
      </c>
      <c r="E159" t="s">
        <v>16</v>
      </c>
      <c r="F159" t="s">
        <v>2958</v>
      </c>
      <c r="G159" t="s">
        <v>16</v>
      </c>
      <c r="H159" t="s">
        <v>16</v>
      </c>
      <c r="I159" t="s">
        <v>2959</v>
      </c>
      <c r="J159" t="s">
        <v>2960</v>
      </c>
      <c r="K159" t="s">
        <v>2961</v>
      </c>
      <c r="L159" t="s">
        <v>16</v>
      </c>
      <c r="M159" t="s">
        <v>22</v>
      </c>
      <c r="N159" t="s">
        <v>23</v>
      </c>
      <c r="O159" t="s">
        <v>16</v>
      </c>
      <c r="P159" t="s">
        <v>16</v>
      </c>
      <c r="Q159" t="s">
        <v>16</v>
      </c>
      <c r="R159" t="s">
        <v>16</v>
      </c>
      <c r="S159" t="s">
        <v>16</v>
      </c>
      <c r="T159" t="s">
        <v>2962</v>
      </c>
      <c r="U159" t="s">
        <v>2963</v>
      </c>
      <c r="V159" t="s">
        <v>2964</v>
      </c>
      <c r="W159" t="s">
        <v>2965</v>
      </c>
      <c r="X159" t="s">
        <v>2966</v>
      </c>
      <c r="Y159" t="s">
        <v>2967</v>
      </c>
      <c r="Z159" t="s">
        <v>2968</v>
      </c>
      <c r="AA159" t="s">
        <v>16</v>
      </c>
      <c r="AB159" t="s">
        <v>16</v>
      </c>
      <c r="AC159" t="s">
        <v>2969</v>
      </c>
      <c r="AD159" t="s">
        <v>2969</v>
      </c>
      <c r="AE159" t="s">
        <v>2970</v>
      </c>
      <c r="AF159" t="s">
        <v>16</v>
      </c>
      <c r="AG159">
        <v>157</v>
      </c>
      <c r="AH159">
        <v>45</v>
      </c>
      <c r="AI159">
        <v>46</v>
      </c>
      <c r="AJ159">
        <v>9</v>
      </c>
      <c r="AK159">
        <v>68</v>
      </c>
      <c r="AL159" t="s">
        <v>2971</v>
      </c>
      <c r="AM159" t="s">
        <v>2972</v>
      </c>
      <c r="AN159" t="s">
        <v>2973</v>
      </c>
      <c r="AO159" t="s">
        <v>2974</v>
      </c>
      <c r="AP159" t="s">
        <v>2975</v>
      </c>
      <c r="AQ159" t="s">
        <v>2976</v>
      </c>
      <c r="AR159" t="s">
        <v>2977</v>
      </c>
      <c r="AS159" t="s">
        <v>2978</v>
      </c>
      <c r="AT159" t="s">
        <v>16</v>
      </c>
      <c r="AU159">
        <v>2020</v>
      </c>
      <c r="AV159">
        <v>58</v>
      </c>
      <c r="AW159" t="s">
        <v>16</v>
      </c>
      <c r="AX159" t="s">
        <v>16</v>
      </c>
      <c r="AY159" t="s">
        <v>16</v>
      </c>
      <c r="AZ159" t="s">
        <v>16</v>
      </c>
      <c r="BA159" t="s">
        <v>16</v>
      </c>
      <c r="BB159">
        <v>313</v>
      </c>
      <c r="BC159">
        <v>341</v>
      </c>
      <c r="BD159" t="s">
        <v>16</v>
      </c>
      <c r="BE159" t="s">
        <v>2979</v>
      </c>
      <c r="BF159" t="str">
        <f>HYPERLINK("http://dx.doi.org/10.1146/annurev-phyto-010820-012856","http://dx.doi.org/10.1146/annurev-phyto-010820-012856")</f>
        <v>http://dx.doi.org/10.1146/annurev-phyto-010820-012856</v>
      </c>
      <c r="BG159" t="s">
        <v>16</v>
      </c>
      <c r="BH159" t="s">
        <v>16</v>
      </c>
      <c r="BI159">
        <v>29</v>
      </c>
      <c r="BJ159" t="s">
        <v>214</v>
      </c>
      <c r="BK159" t="s">
        <v>41</v>
      </c>
      <c r="BL159" t="s">
        <v>214</v>
      </c>
      <c r="BM159" t="s">
        <v>2980</v>
      </c>
      <c r="BN159">
        <v>32511041</v>
      </c>
      <c r="BO159" t="s">
        <v>16</v>
      </c>
      <c r="BP159" t="s">
        <v>16</v>
      </c>
      <c r="BQ159" t="s">
        <v>16</v>
      </c>
      <c r="BR159" t="s">
        <v>44</v>
      </c>
      <c r="BS159" t="s">
        <v>2981</v>
      </c>
      <c r="BT159" t="str">
        <f>HYPERLINK("https%3A%2F%2Fwww.webofscience.com%2Fwos%2Fwoscc%2Ffull-record%2FWOS:000620037300015","View Full Record in Web of Science")</f>
        <v>View Full Record in Web of Science</v>
      </c>
    </row>
    <row r="160" spans="1:72" x14ac:dyDescent="0.2">
      <c r="A160" t="s">
        <v>46</v>
      </c>
      <c r="B160" t="s">
        <v>2982</v>
      </c>
      <c r="C160" t="s">
        <v>16</v>
      </c>
      <c r="D160" t="s">
        <v>16</v>
      </c>
      <c r="E160" t="s">
        <v>16</v>
      </c>
      <c r="F160" t="s">
        <v>2983</v>
      </c>
      <c r="G160" t="s">
        <v>16</v>
      </c>
      <c r="H160" t="s">
        <v>16</v>
      </c>
      <c r="I160" t="s">
        <v>2984</v>
      </c>
      <c r="J160" t="s">
        <v>2985</v>
      </c>
      <c r="K160" t="s">
        <v>16</v>
      </c>
      <c r="L160" t="s">
        <v>16</v>
      </c>
      <c r="M160" t="s">
        <v>22</v>
      </c>
      <c r="N160" t="s">
        <v>118</v>
      </c>
      <c r="O160" t="s">
        <v>16</v>
      </c>
      <c r="P160" t="s">
        <v>16</v>
      </c>
      <c r="Q160" t="s">
        <v>16</v>
      </c>
      <c r="R160" t="s">
        <v>16</v>
      </c>
      <c r="S160" t="s">
        <v>16</v>
      </c>
      <c r="T160" t="s">
        <v>2986</v>
      </c>
      <c r="U160" t="s">
        <v>2987</v>
      </c>
      <c r="V160" t="s">
        <v>2988</v>
      </c>
      <c r="W160" t="s">
        <v>2989</v>
      </c>
      <c r="X160" t="s">
        <v>2990</v>
      </c>
      <c r="Y160" t="s">
        <v>2991</v>
      </c>
      <c r="Z160" t="s">
        <v>2992</v>
      </c>
      <c r="AA160" t="s">
        <v>2993</v>
      </c>
      <c r="AB160" t="s">
        <v>2994</v>
      </c>
      <c r="AC160" t="s">
        <v>2995</v>
      </c>
      <c r="AD160" t="s">
        <v>2996</v>
      </c>
      <c r="AE160" t="s">
        <v>2997</v>
      </c>
      <c r="AF160" t="s">
        <v>16</v>
      </c>
      <c r="AG160">
        <v>105</v>
      </c>
      <c r="AH160">
        <v>1</v>
      </c>
      <c r="AI160">
        <v>1</v>
      </c>
      <c r="AJ160">
        <v>1</v>
      </c>
      <c r="AK160">
        <v>24</v>
      </c>
      <c r="AL160" t="s">
        <v>2998</v>
      </c>
      <c r="AM160" t="s">
        <v>1069</v>
      </c>
      <c r="AN160" t="s">
        <v>2999</v>
      </c>
      <c r="AO160" t="s">
        <v>3000</v>
      </c>
      <c r="AP160" t="s">
        <v>3001</v>
      </c>
      <c r="AQ160" t="s">
        <v>16</v>
      </c>
      <c r="AR160" t="s">
        <v>3002</v>
      </c>
      <c r="AS160" t="s">
        <v>3003</v>
      </c>
      <c r="AT160" t="s">
        <v>812</v>
      </c>
      <c r="AU160">
        <v>2017</v>
      </c>
      <c r="AV160">
        <v>4</v>
      </c>
      <c r="AW160">
        <v>3</v>
      </c>
      <c r="AX160" t="s">
        <v>16</v>
      </c>
      <c r="AY160" t="s">
        <v>16</v>
      </c>
      <c r="AZ160" t="s">
        <v>16</v>
      </c>
      <c r="BA160" t="s">
        <v>16</v>
      </c>
      <c r="BB160">
        <v>268</v>
      </c>
      <c r="BC160">
        <v>278</v>
      </c>
      <c r="BD160" t="s">
        <v>16</v>
      </c>
      <c r="BE160" t="s">
        <v>3004</v>
      </c>
      <c r="BF160" t="str">
        <f>HYPERLINK("http://dx.doi.org/10.15302/J-FASE-2017164","http://dx.doi.org/10.15302/J-FASE-2017164")</f>
        <v>http://dx.doi.org/10.15302/J-FASE-2017164</v>
      </c>
      <c r="BG160" t="s">
        <v>16</v>
      </c>
      <c r="BH160" t="s">
        <v>16</v>
      </c>
      <c r="BI160">
        <v>11</v>
      </c>
      <c r="BJ160" t="s">
        <v>40</v>
      </c>
      <c r="BK160" t="s">
        <v>603</v>
      </c>
      <c r="BL160" t="s">
        <v>42</v>
      </c>
      <c r="BM160" t="s">
        <v>3005</v>
      </c>
      <c r="BN160" t="s">
        <v>16</v>
      </c>
      <c r="BO160" t="s">
        <v>552</v>
      </c>
      <c r="BP160" t="s">
        <v>16</v>
      </c>
      <c r="BQ160" t="s">
        <v>16</v>
      </c>
      <c r="BR160" t="s">
        <v>44</v>
      </c>
      <c r="BS160" t="s">
        <v>3006</v>
      </c>
      <c r="BT160" t="str">
        <f>HYPERLINK("https%3A%2F%2Fwww.webofscience.com%2Fwos%2Fwoscc%2Ffull-record%2FWOS:000410764900003","View Full Record in Web of Science")</f>
        <v>View Full Record in Web of Science</v>
      </c>
    </row>
    <row r="161" spans="1:72" x14ac:dyDescent="0.2">
      <c r="A161" t="s">
        <v>46</v>
      </c>
      <c r="B161" t="s">
        <v>3007</v>
      </c>
      <c r="C161" t="s">
        <v>16</v>
      </c>
      <c r="D161" t="s">
        <v>16</v>
      </c>
      <c r="E161" t="s">
        <v>16</v>
      </c>
      <c r="F161" t="s">
        <v>3008</v>
      </c>
      <c r="G161" t="s">
        <v>16</v>
      </c>
      <c r="H161" t="s">
        <v>16</v>
      </c>
      <c r="I161" t="s">
        <v>3009</v>
      </c>
      <c r="J161" t="s">
        <v>3010</v>
      </c>
      <c r="K161" t="s">
        <v>16</v>
      </c>
      <c r="L161" t="s">
        <v>16</v>
      </c>
      <c r="M161" t="s">
        <v>22</v>
      </c>
      <c r="N161" t="s">
        <v>51</v>
      </c>
      <c r="O161" t="s">
        <v>16</v>
      </c>
      <c r="P161" t="s">
        <v>16</v>
      </c>
      <c r="Q161" t="s">
        <v>16</v>
      </c>
      <c r="R161" t="s">
        <v>16</v>
      </c>
      <c r="S161" t="s">
        <v>16</v>
      </c>
      <c r="T161" t="s">
        <v>3011</v>
      </c>
      <c r="U161" t="s">
        <v>3012</v>
      </c>
      <c r="V161" t="s">
        <v>3013</v>
      </c>
      <c r="W161" t="s">
        <v>3014</v>
      </c>
      <c r="X161" t="s">
        <v>3015</v>
      </c>
      <c r="Y161" t="s">
        <v>3016</v>
      </c>
      <c r="Z161" t="s">
        <v>3017</v>
      </c>
      <c r="AA161" t="s">
        <v>3018</v>
      </c>
      <c r="AB161" t="s">
        <v>3019</v>
      </c>
      <c r="AC161" t="s">
        <v>3020</v>
      </c>
      <c r="AD161" t="s">
        <v>3021</v>
      </c>
      <c r="AE161" t="s">
        <v>3022</v>
      </c>
      <c r="AF161" t="s">
        <v>16</v>
      </c>
      <c r="AG161">
        <v>31</v>
      </c>
      <c r="AH161">
        <v>19</v>
      </c>
      <c r="AI161">
        <v>19</v>
      </c>
      <c r="AJ161">
        <v>1</v>
      </c>
      <c r="AK161">
        <v>7</v>
      </c>
      <c r="AL161" t="s">
        <v>3023</v>
      </c>
      <c r="AM161" t="s">
        <v>3024</v>
      </c>
      <c r="AN161" t="s">
        <v>3025</v>
      </c>
      <c r="AO161" t="s">
        <v>3026</v>
      </c>
      <c r="AP161" t="s">
        <v>16</v>
      </c>
      <c r="AQ161" t="s">
        <v>16</v>
      </c>
      <c r="AR161" t="s">
        <v>3010</v>
      </c>
      <c r="AS161" t="s">
        <v>3027</v>
      </c>
      <c r="AT161" t="s">
        <v>16</v>
      </c>
      <c r="AU161">
        <v>2022</v>
      </c>
      <c r="AV161">
        <v>10</v>
      </c>
      <c r="AW161" t="s">
        <v>16</v>
      </c>
      <c r="AX161" t="s">
        <v>16</v>
      </c>
      <c r="AY161" t="s">
        <v>16</v>
      </c>
      <c r="AZ161" t="s">
        <v>16</v>
      </c>
      <c r="BA161" t="s">
        <v>16</v>
      </c>
      <c r="BB161">
        <v>103364</v>
      </c>
      <c r="BC161">
        <v>103381</v>
      </c>
      <c r="BD161" t="s">
        <v>16</v>
      </c>
      <c r="BE161" t="s">
        <v>3028</v>
      </c>
      <c r="BF161" t="str">
        <f>HYPERLINK("http://dx.doi.org/10.1109/ACCESS.2022.3210175","http://dx.doi.org/10.1109/ACCESS.2022.3210175")</f>
        <v>http://dx.doi.org/10.1109/ACCESS.2022.3210175</v>
      </c>
      <c r="BG161" t="s">
        <v>16</v>
      </c>
      <c r="BH161" t="s">
        <v>16</v>
      </c>
      <c r="BI161">
        <v>18</v>
      </c>
      <c r="BJ161" t="s">
        <v>296</v>
      </c>
      <c r="BK161" t="s">
        <v>73</v>
      </c>
      <c r="BL161" t="s">
        <v>3029</v>
      </c>
      <c r="BM161" t="s">
        <v>3030</v>
      </c>
      <c r="BN161" t="s">
        <v>16</v>
      </c>
      <c r="BO161" t="s">
        <v>1517</v>
      </c>
      <c r="BP161" t="s">
        <v>16</v>
      </c>
      <c r="BQ161" t="s">
        <v>16</v>
      </c>
      <c r="BR161" t="s">
        <v>44</v>
      </c>
      <c r="BS161" t="s">
        <v>3031</v>
      </c>
      <c r="BT161" t="str">
        <f>HYPERLINK("https%3A%2F%2Fwww.webofscience.com%2Fwos%2Fwoscc%2Ffull-record%2FWOS:000864347100001","View Full Record in Web of Science")</f>
        <v>View Full Record in Web of Science</v>
      </c>
    </row>
    <row r="162" spans="1:72" x14ac:dyDescent="0.2">
      <c r="A162" t="s">
        <v>46</v>
      </c>
      <c r="B162" t="s">
        <v>3032</v>
      </c>
      <c r="C162" t="s">
        <v>16</v>
      </c>
      <c r="D162" t="s">
        <v>16</v>
      </c>
      <c r="E162" t="s">
        <v>16</v>
      </c>
      <c r="F162" t="s">
        <v>3033</v>
      </c>
      <c r="G162" t="s">
        <v>16</v>
      </c>
      <c r="H162" t="s">
        <v>16</v>
      </c>
      <c r="I162" t="s">
        <v>3034</v>
      </c>
      <c r="J162" t="s">
        <v>2330</v>
      </c>
      <c r="K162" t="s">
        <v>16</v>
      </c>
      <c r="L162" t="s">
        <v>16</v>
      </c>
      <c r="M162" t="s">
        <v>22</v>
      </c>
      <c r="N162" t="s">
        <v>51</v>
      </c>
      <c r="O162" t="s">
        <v>16</v>
      </c>
      <c r="P162" t="s">
        <v>16</v>
      </c>
      <c r="Q162" t="s">
        <v>16</v>
      </c>
      <c r="R162" t="s">
        <v>16</v>
      </c>
      <c r="S162" t="s">
        <v>16</v>
      </c>
      <c r="T162" t="s">
        <v>3035</v>
      </c>
      <c r="U162" t="s">
        <v>3036</v>
      </c>
      <c r="V162" t="s">
        <v>3037</v>
      </c>
      <c r="W162" t="s">
        <v>3038</v>
      </c>
      <c r="X162" t="s">
        <v>3039</v>
      </c>
      <c r="Y162" t="s">
        <v>3040</v>
      </c>
      <c r="Z162" t="s">
        <v>3041</v>
      </c>
      <c r="AA162" t="s">
        <v>3042</v>
      </c>
      <c r="AB162" t="s">
        <v>3043</v>
      </c>
      <c r="AC162" t="s">
        <v>3044</v>
      </c>
      <c r="AD162" t="s">
        <v>3045</v>
      </c>
      <c r="AE162" t="s">
        <v>3046</v>
      </c>
      <c r="AF162" t="s">
        <v>16</v>
      </c>
      <c r="AG162">
        <v>28</v>
      </c>
      <c r="AH162">
        <v>0</v>
      </c>
      <c r="AI162">
        <v>0</v>
      </c>
      <c r="AJ162">
        <v>0</v>
      </c>
      <c r="AK162">
        <v>2</v>
      </c>
      <c r="AL162" t="s">
        <v>2341</v>
      </c>
      <c r="AM162" t="s">
        <v>2342</v>
      </c>
      <c r="AN162" t="s">
        <v>2343</v>
      </c>
      <c r="AO162" t="s">
        <v>2344</v>
      </c>
      <c r="AP162" t="s">
        <v>2345</v>
      </c>
      <c r="AQ162" t="s">
        <v>16</v>
      </c>
      <c r="AR162" t="s">
        <v>2346</v>
      </c>
      <c r="AS162" t="s">
        <v>2347</v>
      </c>
      <c r="AT162" t="s">
        <v>16</v>
      </c>
      <c r="AU162">
        <v>2021</v>
      </c>
      <c r="AV162">
        <v>71</v>
      </c>
      <c r="AW162">
        <v>4</v>
      </c>
      <c r="AX162" t="s">
        <v>16</v>
      </c>
      <c r="AY162" t="s">
        <v>16</v>
      </c>
      <c r="AZ162" t="s">
        <v>16</v>
      </c>
      <c r="BA162" t="s">
        <v>16</v>
      </c>
      <c r="BB162">
        <v>444</v>
      </c>
      <c r="BC162">
        <v>455</v>
      </c>
      <c r="BD162" t="s">
        <v>16</v>
      </c>
      <c r="BE162" t="s">
        <v>3047</v>
      </c>
      <c r="BF162" t="str">
        <f>HYPERLINK("http://dx.doi.org/10.1270/jsbbs.20060","http://dx.doi.org/10.1270/jsbbs.20060")</f>
        <v>http://dx.doi.org/10.1270/jsbbs.20060</v>
      </c>
      <c r="BG162" t="s">
        <v>16</v>
      </c>
      <c r="BH162" t="s">
        <v>16</v>
      </c>
      <c r="BI162">
        <v>12</v>
      </c>
      <c r="BJ162" t="s">
        <v>92</v>
      </c>
      <c r="BK162" t="s">
        <v>73</v>
      </c>
      <c r="BL162" t="s">
        <v>94</v>
      </c>
      <c r="BM162" t="s">
        <v>3048</v>
      </c>
      <c r="BN162">
        <v>34912171</v>
      </c>
      <c r="BO162" t="s">
        <v>216</v>
      </c>
      <c r="BP162" t="s">
        <v>16</v>
      </c>
      <c r="BQ162" t="s">
        <v>16</v>
      </c>
      <c r="BR162" t="s">
        <v>44</v>
      </c>
      <c r="BS162" t="s">
        <v>3049</v>
      </c>
      <c r="BT162" t="str">
        <f>HYPERLINK("https%3A%2F%2Fwww.webofscience.com%2Fwos%2Fwoscc%2Ffull-record%2FWOS:000704978200004","View Full Record in Web of Science")</f>
        <v>View Full Record in Web of Science</v>
      </c>
    </row>
    <row r="163" spans="1:72" x14ac:dyDescent="0.2">
      <c r="A163" t="s">
        <v>46</v>
      </c>
      <c r="B163" t="s">
        <v>3050</v>
      </c>
      <c r="C163" t="s">
        <v>16</v>
      </c>
      <c r="D163" t="s">
        <v>16</v>
      </c>
      <c r="E163" t="s">
        <v>16</v>
      </c>
      <c r="F163" t="s">
        <v>3051</v>
      </c>
      <c r="G163" t="s">
        <v>16</v>
      </c>
      <c r="H163" t="s">
        <v>16</v>
      </c>
      <c r="I163" t="s">
        <v>3052</v>
      </c>
      <c r="J163" t="s">
        <v>3053</v>
      </c>
      <c r="K163" t="s">
        <v>16</v>
      </c>
      <c r="L163" t="s">
        <v>16</v>
      </c>
      <c r="M163" t="s">
        <v>22</v>
      </c>
      <c r="N163" t="s">
        <v>51</v>
      </c>
      <c r="O163" t="s">
        <v>16</v>
      </c>
      <c r="P163" t="s">
        <v>16</v>
      </c>
      <c r="Q163" t="s">
        <v>16</v>
      </c>
      <c r="R163" t="s">
        <v>16</v>
      </c>
      <c r="S163" t="s">
        <v>16</v>
      </c>
      <c r="T163" t="s">
        <v>16</v>
      </c>
      <c r="U163" t="s">
        <v>3054</v>
      </c>
      <c r="V163" t="s">
        <v>3055</v>
      </c>
      <c r="W163" t="s">
        <v>3056</v>
      </c>
      <c r="X163" t="s">
        <v>3057</v>
      </c>
      <c r="Y163" t="s">
        <v>3058</v>
      </c>
      <c r="Z163" t="s">
        <v>3059</v>
      </c>
      <c r="AA163" t="s">
        <v>16</v>
      </c>
      <c r="AB163" t="s">
        <v>16</v>
      </c>
      <c r="AC163" t="s">
        <v>3060</v>
      </c>
      <c r="AD163" t="s">
        <v>3061</v>
      </c>
      <c r="AE163" t="s">
        <v>3062</v>
      </c>
      <c r="AF163" t="s">
        <v>16</v>
      </c>
      <c r="AG163">
        <v>13</v>
      </c>
      <c r="AH163">
        <v>25</v>
      </c>
      <c r="AI163">
        <v>27</v>
      </c>
      <c r="AJ163">
        <v>0</v>
      </c>
      <c r="AK163">
        <v>4</v>
      </c>
      <c r="AL163" t="s">
        <v>3063</v>
      </c>
      <c r="AM163" t="s">
        <v>376</v>
      </c>
      <c r="AN163" t="s">
        <v>3064</v>
      </c>
      <c r="AO163" t="s">
        <v>3065</v>
      </c>
      <c r="AP163" t="s">
        <v>3066</v>
      </c>
      <c r="AQ163" t="s">
        <v>16</v>
      </c>
      <c r="AR163" t="s">
        <v>3067</v>
      </c>
      <c r="AS163" t="s">
        <v>3068</v>
      </c>
      <c r="AT163" t="s">
        <v>3069</v>
      </c>
      <c r="AU163">
        <v>2016</v>
      </c>
      <c r="AV163">
        <v>48</v>
      </c>
      <c r="AW163" t="s">
        <v>16</v>
      </c>
      <c r="AX163" t="s">
        <v>16</v>
      </c>
      <c r="AY163" t="s">
        <v>16</v>
      </c>
      <c r="AZ163" t="s">
        <v>16</v>
      </c>
      <c r="BA163" t="s">
        <v>16</v>
      </c>
      <c r="BB163" t="s">
        <v>16</v>
      </c>
      <c r="BC163" t="s">
        <v>16</v>
      </c>
      <c r="BD163">
        <v>36</v>
      </c>
      <c r="BE163" t="s">
        <v>3070</v>
      </c>
      <c r="BF163" t="str">
        <f>HYPERLINK("http://dx.doi.org/10.1186/s12711-016-0214-0","http://dx.doi.org/10.1186/s12711-016-0214-0")</f>
        <v>http://dx.doi.org/10.1186/s12711-016-0214-0</v>
      </c>
      <c r="BG163" t="s">
        <v>16</v>
      </c>
      <c r="BH163" t="s">
        <v>16</v>
      </c>
      <c r="BI163">
        <v>11</v>
      </c>
      <c r="BJ163" t="s">
        <v>296</v>
      </c>
      <c r="BK163" t="s">
        <v>73</v>
      </c>
      <c r="BL163" t="s">
        <v>3071</v>
      </c>
      <c r="BM163" t="s">
        <v>3072</v>
      </c>
      <c r="BN163">
        <v>27107720</v>
      </c>
      <c r="BO163" t="s">
        <v>216</v>
      </c>
      <c r="BP163" t="s">
        <v>16</v>
      </c>
      <c r="BQ163" t="s">
        <v>16</v>
      </c>
      <c r="BR163" t="s">
        <v>44</v>
      </c>
      <c r="BS163" t="s">
        <v>3073</v>
      </c>
      <c r="BT163" t="str">
        <f>HYPERLINK("https%3A%2F%2Fwww.webofscience.com%2Fwos%2Fwoscc%2Ffull-record%2FWOS:000374925900001","View Full Record in Web of Science")</f>
        <v>View Full Record in Web of Science</v>
      </c>
    </row>
    <row r="164" spans="1:72" x14ac:dyDescent="0.2">
      <c r="A164" t="s">
        <v>46</v>
      </c>
      <c r="B164" t="s">
        <v>3074</v>
      </c>
      <c r="C164" t="s">
        <v>16</v>
      </c>
      <c r="D164" t="s">
        <v>16</v>
      </c>
      <c r="E164" t="s">
        <v>16</v>
      </c>
      <c r="F164" t="s">
        <v>3075</v>
      </c>
      <c r="G164" t="s">
        <v>16</v>
      </c>
      <c r="H164" t="s">
        <v>16</v>
      </c>
      <c r="I164" t="s">
        <v>3076</v>
      </c>
      <c r="J164" t="s">
        <v>3077</v>
      </c>
      <c r="K164" t="s">
        <v>16</v>
      </c>
      <c r="L164" t="s">
        <v>16</v>
      </c>
      <c r="M164" t="s">
        <v>22</v>
      </c>
      <c r="N164" t="s">
        <v>51</v>
      </c>
      <c r="O164" t="s">
        <v>16</v>
      </c>
      <c r="P164" t="s">
        <v>16</v>
      </c>
      <c r="Q164" t="s">
        <v>16</v>
      </c>
      <c r="R164" t="s">
        <v>16</v>
      </c>
      <c r="S164" t="s">
        <v>16</v>
      </c>
      <c r="T164" t="s">
        <v>3078</v>
      </c>
      <c r="U164" t="s">
        <v>3079</v>
      </c>
      <c r="V164" t="s">
        <v>3080</v>
      </c>
      <c r="W164" t="s">
        <v>3081</v>
      </c>
      <c r="X164" t="s">
        <v>3082</v>
      </c>
      <c r="Y164" t="s">
        <v>3083</v>
      </c>
      <c r="Z164" t="s">
        <v>3084</v>
      </c>
      <c r="AA164" t="s">
        <v>3085</v>
      </c>
      <c r="AB164" t="s">
        <v>16</v>
      </c>
      <c r="AC164" t="s">
        <v>3086</v>
      </c>
      <c r="AD164" t="s">
        <v>3087</v>
      </c>
      <c r="AE164" t="s">
        <v>3088</v>
      </c>
      <c r="AF164" t="s">
        <v>16</v>
      </c>
      <c r="AG164">
        <v>39</v>
      </c>
      <c r="AH164">
        <v>3</v>
      </c>
      <c r="AI164">
        <v>7</v>
      </c>
      <c r="AJ164">
        <v>0</v>
      </c>
      <c r="AK164">
        <v>18</v>
      </c>
      <c r="AL164" t="s">
        <v>720</v>
      </c>
      <c r="AM164" t="s">
        <v>721</v>
      </c>
      <c r="AN164" t="s">
        <v>722</v>
      </c>
      <c r="AO164" t="s">
        <v>3089</v>
      </c>
      <c r="AP164" t="s">
        <v>3090</v>
      </c>
      <c r="AQ164" t="s">
        <v>16</v>
      </c>
      <c r="AR164" t="s">
        <v>3091</v>
      </c>
      <c r="AS164" t="s">
        <v>3092</v>
      </c>
      <c r="AT164" t="s">
        <v>623</v>
      </c>
      <c r="AU164">
        <v>2014</v>
      </c>
      <c r="AV164">
        <v>15</v>
      </c>
      <c r="AW164">
        <v>2</v>
      </c>
      <c r="AX164" t="s">
        <v>16</v>
      </c>
      <c r="AY164" t="s">
        <v>16</v>
      </c>
      <c r="AZ164" t="s">
        <v>188</v>
      </c>
      <c r="BA164" t="s">
        <v>16</v>
      </c>
      <c r="BB164">
        <v>306</v>
      </c>
      <c r="BC164">
        <v>318</v>
      </c>
      <c r="BD164" t="s">
        <v>16</v>
      </c>
      <c r="BE164" t="s">
        <v>3093</v>
      </c>
      <c r="BF164" t="str">
        <f>HYPERLINK("http://dx.doi.org/10.1093/bib/bbs080","http://dx.doi.org/10.1093/bib/bbs080")</f>
        <v>http://dx.doi.org/10.1093/bib/bbs080</v>
      </c>
      <c r="BG164" t="s">
        <v>16</v>
      </c>
      <c r="BH164" t="s">
        <v>16</v>
      </c>
      <c r="BI164">
        <v>13</v>
      </c>
      <c r="BJ164" t="s">
        <v>296</v>
      </c>
      <c r="BK164" t="s">
        <v>73</v>
      </c>
      <c r="BL164" t="s">
        <v>3094</v>
      </c>
      <c r="BM164" t="s">
        <v>3095</v>
      </c>
      <c r="BN164">
        <v>23271157</v>
      </c>
      <c r="BO164" t="s">
        <v>666</v>
      </c>
      <c r="BP164" t="s">
        <v>16</v>
      </c>
      <c r="BQ164" t="s">
        <v>16</v>
      </c>
      <c r="BR164" t="s">
        <v>44</v>
      </c>
      <c r="BS164" t="s">
        <v>3096</v>
      </c>
      <c r="BT164" t="str">
        <f>HYPERLINK("https%3A%2F%2Fwww.webofscience.com%2Fwos%2Fwoscc%2Ffull-record%2FWOS:000333249500013","View Full Record in Web of Science")</f>
        <v>View Full Record in Web of Science</v>
      </c>
    </row>
    <row r="165" spans="1:72" x14ac:dyDescent="0.2">
      <c r="A165" t="s">
        <v>46</v>
      </c>
      <c r="B165" t="s">
        <v>3097</v>
      </c>
      <c r="C165" t="s">
        <v>16</v>
      </c>
      <c r="D165" t="s">
        <v>16</v>
      </c>
      <c r="E165" t="s">
        <v>16</v>
      </c>
      <c r="F165" t="s">
        <v>3098</v>
      </c>
      <c r="G165" t="s">
        <v>16</v>
      </c>
      <c r="H165" t="s">
        <v>16</v>
      </c>
      <c r="I165" t="s">
        <v>3099</v>
      </c>
      <c r="J165" t="s">
        <v>3100</v>
      </c>
      <c r="K165" t="s">
        <v>16</v>
      </c>
      <c r="L165" t="s">
        <v>16</v>
      </c>
      <c r="M165" t="s">
        <v>22</v>
      </c>
      <c r="N165" t="s">
        <v>51</v>
      </c>
      <c r="O165" t="s">
        <v>16</v>
      </c>
      <c r="P165" t="s">
        <v>16</v>
      </c>
      <c r="Q165" t="s">
        <v>16</v>
      </c>
      <c r="R165" t="s">
        <v>16</v>
      </c>
      <c r="S165" t="s">
        <v>16</v>
      </c>
      <c r="T165" t="s">
        <v>16</v>
      </c>
      <c r="U165" t="s">
        <v>3101</v>
      </c>
      <c r="V165" t="s">
        <v>3102</v>
      </c>
      <c r="W165" t="s">
        <v>3103</v>
      </c>
      <c r="X165" t="s">
        <v>3104</v>
      </c>
      <c r="Y165" t="s">
        <v>3105</v>
      </c>
      <c r="Z165" t="s">
        <v>3106</v>
      </c>
      <c r="AA165" t="s">
        <v>16</v>
      </c>
      <c r="AB165" t="s">
        <v>3107</v>
      </c>
      <c r="AC165" t="s">
        <v>3108</v>
      </c>
      <c r="AD165" t="s">
        <v>3109</v>
      </c>
      <c r="AE165" t="s">
        <v>3110</v>
      </c>
      <c r="AF165" t="s">
        <v>16</v>
      </c>
      <c r="AG165">
        <v>111</v>
      </c>
      <c r="AH165">
        <v>9</v>
      </c>
      <c r="AI165">
        <v>10</v>
      </c>
      <c r="AJ165">
        <v>0</v>
      </c>
      <c r="AK165">
        <v>5</v>
      </c>
      <c r="AL165" t="s">
        <v>1553</v>
      </c>
      <c r="AM165" t="s">
        <v>1554</v>
      </c>
      <c r="AN165" t="s">
        <v>1555</v>
      </c>
      <c r="AO165" t="s">
        <v>3111</v>
      </c>
      <c r="AP165" t="s">
        <v>16</v>
      </c>
      <c r="AQ165" t="s">
        <v>16</v>
      </c>
      <c r="AR165" t="s">
        <v>3112</v>
      </c>
      <c r="AS165" t="s">
        <v>3113</v>
      </c>
      <c r="AT165" t="s">
        <v>464</v>
      </c>
      <c r="AU165">
        <v>2019</v>
      </c>
      <c r="AV165">
        <v>15</v>
      </c>
      <c r="AW165">
        <v>5</v>
      </c>
      <c r="AX165" t="s">
        <v>16</v>
      </c>
      <c r="AY165" t="s">
        <v>16</v>
      </c>
      <c r="AZ165" t="s">
        <v>16</v>
      </c>
      <c r="BA165" t="s">
        <v>16</v>
      </c>
      <c r="BB165" t="s">
        <v>16</v>
      </c>
      <c r="BC165" t="s">
        <v>16</v>
      </c>
      <c r="BD165" t="s">
        <v>3114</v>
      </c>
      <c r="BE165" t="s">
        <v>3115</v>
      </c>
      <c r="BF165" t="str">
        <f>HYPERLINK("http://dx.doi.org/10.1371/journal.pgen.1008124","http://dx.doi.org/10.1371/journal.pgen.1008124")</f>
        <v>http://dx.doi.org/10.1371/journal.pgen.1008124</v>
      </c>
      <c r="BG165" t="s">
        <v>16</v>
      </c>
      <c r="BH165" t="s">
        <v>16</v>
      </c>
      <c r="BI165">
        <v>22</v>
      </c>
      <c r="BJ165" t="s">
        <v>339</v>
      </c>
      <c r="BK165" t="s">
        <v>73</v>
      </c>
      <c r="BL165" t="s">
        <v>339</v>
      </c>
      <c r="BM165" t="s">
        <v>3116</v>
      </c>
      <c r="BN165">
        <v>31071088</v>
      </c>
      <c r="BO165" t="s">
        <v>2954</v>
      </c>
      <c r="BP165" t="s">
        <v>16</v>
      </c>
      <c r="BQ165" t="s">
        <v>16</v>
      </c>
      <c r="BR165" t="s">
        <v>44</v>
      </c>
      <c r="BS165" t="s">
        <v>3117</v>
      </c>
      <c r="BT165" t="str">
        <f>HYPERLINK("https%3A%2F%2Fwww.webofscience.com%2Fwos%2Fwoscc%2Ffull-record%2FWOS:000470208000022","View Full Record in Web of Science")</f>
        <v>View Full Record in Web of Science</v>
      </c>
    </row>
    <row r="166" spans="1:72" x14ac:dyDescent="0.2">
      <c r="A166" t="s">
        <v>46</v>
      </c>
      <c r="B166" t="s">
        <v>3118</v>
      </c>
      <c r="C166" t="s">
        <v>16</v>
      </c>
      <c r="D166" t="s">
        <v>16</v>
      </c>
      <c r="E166" t="s">
        <v>16</v>
      </c>
      <c r="F166" t="s">
        <v>3119</v>
      </c>
      <c r="G166" t="s">
        <v>16</v>
      </c>
      <c r="H166" t="s">
        <v>16</v>
      </c>
      <c r="I166" t="s">
        <v>3120</v>
      </c>
      <c r="J166" t="s">
        <v>50</v>
      </c>
      <c r="K166" t="s">
        <v>16</v>
      </c>
      <c r="L166" t="s">
        <v>16</v>
      </c>
      <c r="M166" t="s">
        <v>22</v>
      </c>
      <c r="N166" t="s">
        <v>51</v>
      </c>
      <c r="O166" t="s">
        <v>16</v>
      </c>
      <c r="P166" t="s">
        <v>16</v>
      </c>
      <c r="Q166" t="s">
        <v>16</v>
      </c>
      <c r="R166" t="s">
        <v>16</v>
      </c>
      <c r="S166" t="s">
        <v>16</v>
      </c>
      <c r="T166" t="s">
        <v>16</v>
      </c>
      <c r="U166" t="s">
        <v>3121</v>
      </c>
      <c r="V166" t="s">
        <v>3122</v>
      </c>
      <c r="W166" t="s">
        <v>3123</v>
      </c>
      <c r="X166" t="s">
        <v>3124</v>
      </c>
      <c r="Y166" t="s">
        <v>3125</v>
      </c>
      <c r="Z166" t="s">
        <v>3126</v>
      </c>
      <c r="AA166" t="s">
        <v>1591</v>
      </c>
      <c r="AB166" t="s">
        <v>1592</v>
      </c>
      <c r="AC166" t="s">
        <v>3127</v>
      </c>
      <c r="AD166" t="s">
        <v>3128</v>
      </c>
      <c r="AE166" t="s">
        <v>3129</v>
      </c>
      <c r="AF166" t="s">
        <v>16</v>
      </c>
      <c r="AG166">
        <v>25</v>
      </c>
      <c r="AH166">
        <v>121</v>
      </c>
      <c r="AI166">
        <v>153</v>
      </c>
      <c r="AJ166">
        <v>1</v>
      </c>
      <c r="AK166">
        <v>34</v>
      </c>
      <c r="AL166" t="s">
        <v>107</v>
      </c>
      <c r="AM166" t="s">
        <v>108</v>
      </c>
      <c r="AN166" t="s">
        <v>109</v>
      </c>
      <c r="AO166" t="s">
        <v>66</v>
      </c>
      <c r="AP166" t="s">
        <v>67</v>
      </c>
      <c r="AQ166" t="s">
        <v>16</v>
      </c>
      <c r="AR166" t="s">
        <v>68</v>
      </c>
      <c r="AS166" t="s">
        <v>69</v>
      </c>
      <c r="AT166" t="s">
        <v>1368</v>
      </c>
      <c r="AU166">
        <v>2015</v>
      </c>
      <c r="AV166">
        <v>55</v>
      </c>
      <c r="AW166">
        <v>6</v>
      </c>
      <c r="AX166" t="s">
        <v>16</v>
      </c>
      <c r="AY166" t="s">
        <v>16</v>
      </c>
      <c r="AZ166" t="s">
        <v>16</v>
      </c>
      <c r="BA166" t="s">
        <v>16</v>
      </c>
      <c r="BB166">
        <v>2657</v>
      </c>
      <c r="BC166">
        <v>2667</v>
      </c>
      <c r="BD166" t="s">
        <v>16</v>
      </c>
      <c r="BE166" t="s">
        <v>3130</v>
      </c>
      <c r="BF166" t="str">
        <f>HYPERLINK("http://dx.doi.org/10.2135/cropsci2014.12.0827","http://dx.doi.org/10.2135/cropsci2014.12.0827")</f>
        <v>http://dx.doi.org/10.2135/cropsci2014.12.0827</v>
      </c>
      <c r="BG166" t="s">
        <v>16</v>
      </c>
      <c r="BH166" t="s">
        <v>16</v>
      </c>
      <c r="BI166">
        <v>11</v>
      </c>
      <c r="BJ166" t="s">
        <v>40</v>
      </c>
      <c r="BK166" t="s">
        <v>73</v>
      </c>
      <c r="BL166" t="s">
        <v>42</v>
      </c>
      <c r="BM166" t="s">
        <v>3131</v>
      </c>
      <c r="BN166" t="s">
        <v>16</v>
      </c>
      <c r="BO166" t="s">
        <v>16</v>
      </c>
      <c r="BP166" t="s">
        <v>16</v>
      </c>
      <c r="BQ166" t="s">
        <v>16</v>
      </c>
      <c r="BR166" t="s">
        <v>44</v>
      </c>
      <c r="BS166" t="s">
        <v>3132</v>
      </c>
      <c r="BT166" t="str">
        <f>HYPERLINK("https%3A%2F%2Fwww.webofscience.com%2Fwos%2Fwoscc%2Ffull-record%2FWOS:000368265600025","View Full Record in Web of Science")</f>
        <v>View Full Record in Web of Science</v>
      </c>
    </row>
    <row r="167" spans="1:72" x14ac:dyDescent="0.2">
      <c r="A167" t="s">
        <v>46</v>
      </c>
      <c r="B167" t="s">
        <v>3133</v>
      </c>
      <c r="C167" t="s">
        <v>16</v>
      </c>
      <c r="D167" t="s">
        <v>16</v>
      </c>
      <c r="E167" t="s">
        <v>16</v>
      </c>
      <c r="F167" t="s">
        <v>3134</v>
      </c>
      <c r="G167" t="s">
        <v>16</v>
      </c>
      <c r="H167" t="s">
        <v>16</v>
      </c>
      <c r="I167" t="s">
        <v>3135</v>
      </c>
      <c r="J167" t="s">
        <v>3136</v>
      </c>
      <c r="K167" t="s">
        <v>16</v>
      </c>
      <c r="L167" t="s">
        <v>16</v>
      </c>
      <c r="M167" t="s">
        <v>22</v>
      </c>
      <c r="N167" t="s">
        <v>51</v>
      </c>
      <c r="O167" t="s">
        <v>16</v>
      </c>
      <c r="P167" t="s">
        <v>16</v>
      </c>
      <c r="Q167" t="s">
        <v>16</v>
      </c>
      <c r="R167" t="s">
        <v>16</v>
      </c>
      <c r="S167" t="s">
        <v>16</v>
      </c>
      <c r="T167" t="s">
        <v>3137</v>
      </c>
      <c r="U167" t="s">
        <v>3138</v>
      </c>
      <c r="V167" t="s">
        <v>3139</v>
      </c>
      <c r="W167" t="s">
        <v>3140</v>
      </c>
      <c r="X167" t="s">
        <v>3141</v>
      </c>
      <c r="Y167" t="s">
        <v>3142</v>
      </c>
      <c r="Z167" t="s">
        <v>3143</v>
      </c>
      <c r="AA167" t="s">
        <v>3144</v>
      </c>
      <c r="AB167" t="s">
        <v>3145</v>
      </c>
      <c r="AC167" t="s">
        <v>3146</v>
      </c>
      <c r="AD167" t="s">
        <v>3147</v>
      </c>
      <c r="AE167" t="s">
        <v>3148</v>
      </c>
      <c r="AF167" t="s">
        <v>16</v>
      </c>
      <c r="AG167">
        <v>24</v>
      </c>
      <c r="AH167">
        <v>0</v>
      </c>
      <c r="AI167">
        <v>0</v>
      </c>
      <c r="AJ167">
        <v>0</v>
      </c>
      <c r="AK167">
        <v>2</v>
      </c>
      <c r="AL167" t="s">
        <v>3149</v>
      </c>
      <c r="AM167" t="s">
        <v>3150</v>
      </c>
      <c r="AN167" t="s">
        <v>3151</v>
      </c>
      <c r="AO167" t="s">
        <v>3152</v>
      </c>
      <c r="AP167" t="s">
        <v>16</v>
      </c>
      <c r="AQ167" t="s">
        <v>16</v>
      </c>
      <c r="AR167" t="s">
        <v>3153</v>
      </c>
      <c r="AS167" t="s">
        <v>3154</v>
      </c>
      <c r="AT167" t="s">
        <v>110</v>
      </c>
      <c r="AU167">
        <v>2019</v>
      </c>
      <c r="AV167">
        <v>35</v>
      </c>
      <c r="AW167">
        <v>5</v>
      </c>
      <c r="AX167" t="s">
        <v>16</v>
      </c>
      <c r="AY167" t="s">
        <v>16</v>
      </c>
      <c r="AZ167" t="s">
        <v>16</v>
      </c>
      <c r="BA167" t="s">
        <v>16</v>
      </c>
      <c r="BB167">
        <v>1588</v>
      </c>
      <c r="BC167">
        <v>1598</v>
      </c>
      <c r="BD167" t="s">
        <v>16</v>
      </c>
      <c r="BE167" t="s">
        <v>3155</v>
      </c>
      <c r="BF167" t="str">
        <f>HYPERLINK("http://dx.doi.org/10.14393/BJ-v35n5a2019-42245","http://dx.doi.org/10.14393/BJ-v35n5a2019-42245")</f>
        <v>http://dx.doi.org/10.14393/BJ-v35n5a2019-42245</v>
      </c>
      <c r="BG167" t="s">
        <v>16</v>
      </c>
      <c r="BH167" t="s">
        <v>16</v>
      </c>
      <c r="BI167">
        <v>11</v>
      </c>
      <c r="BJ167" t="s">
        <v>296</v>
      </c>
      <c r="BK167" t="s">
        <v>73</v>
      </c>
      <c r="BL167" t="s">
        <v>3156</v>
      </c>
      <c r="BM167" t="s">
        <v>3157</v>
      </c>
      <c r="BN167" t="s">
        <v>16</v>
      </c>
      <c r="BO167" t="s">
        <v>511</v>
      </c>
      <c r="BP167" t="s">
        <v>16</v>
      </c>
      <c r="BQ167" t="s">
        <v>16</v>
      </c>
      <c r="BR167" t="s">
        <v>44</v>
      </c>
      <c r="BS167" t="s">
        <v>3158</v>
      </c>
      <c r="BT167" t="str">
        <f>HYPERLINK("https%3A%2F%2Fwww.webofscience.com%2Fwos%2Fwoscc%2Ffull-record%2FWOS:000495365800029","View Full Record in Web of Science")</f>
        <v>View Full Record in Web of Science</v>
      </c>
    </row>
    <row r="168" spans="1:72" x14ac:dyDescent="0.2">
      <c r="A168" t="s">
        <v>46</v>
      </c>
      <c r="B168" t="s">
        <v>3159</v>
      </c>
      <c r="C168" t="s">
        <v>16</v>
      </c>
      <c r="D168" t="s">
        <v>16</v>
      </c>
      <c r="E168" t="s">
        <v>16</v>
      </c>
      <c r="F168" t="s">
        <v>3159</v>
      </c>
      <c r="G168" t="s">
        <v>16</v>
      </c>
      <c r="H168" t="s">
        <v>16</v>
      </c>
      <c r="I168" t="s">
        <v>3160</v>
      </c>
      <c r="J168" t="s">
        <v>1453</v>
      </c>
      <c r="K168" t="s">
        <v>16</v>
      </c>
      <c r="L168" t="s">
        <v>16</v>
      </c>
      <c r="M168" t="s">
        <v>22</v>
      </c>
      <c r="N168" t="s">
        <v>51</v>
      </c>
      <c r="O168" t="s">
        <v>16</v>
      </c>
      <c r="P168" t="s">
        <v>16</v>
      </c>
      <c r="Q168" t="s">
        <v>16</v>
      </c>
      <c r="R168" t="s">
        <v>16</v>
      </c>
      <c r="S168" t="s">
        <v>16</v>
      </c>
      <c r="T168" t="s">
        <v>16</v>
      </c>
      <c r="U168" t="s">
        <v>3161</v>
      </c>
      <c r="V168" t="s">
        <v>3162</v>
      </c>
      <c r="W168" t="s">
        <v>3163</v>
      </c>
      <c r="X168" t="s">
        <v>3164</v>
      </c>
      <c r="Y168" t="s">
        <v>3165</v>
      </c>
      <c r="Z168" t="s">
        <v>16</v>
      </c>
      <c r="AA168" t="s">
        <v>3166</v>
      </c>
      <c r="AB168" t="s">
        <v>16</v>
      </c>
      <c r="AC168" t="s">
        <v>16</v>
      </c>
      <c r="AD168" t="s">
        <v>16</v>
      </c>
      <c r="AE168" t="s">
        <v>16</v>
      </c>
      <c r="AF168" t="s">
        <v>16</v>
      </c>
      <c r="AG168">
        <v>31</v>
      </c>
      <c r="AH168">
        <v>42</v>
      </c>
      <c r="AI168">
        <v>46</v>
      </c>
      <c r="AJ168">
        <v>0</v>
      </c>
      <c r="AK168">
        <v>9</v>
      </c>
      <c r="AL168" t="s">
        <v>63</v>
      </c>
      <c r="AM168" t="s">
        <v>64</v>
      </c>
      <c r="AN168" t="s">
        <v>65</v>
      </c>
      <c r="AO168" t="s">
        <v>1460</v>
      </c>
      <c r="AP168" t="s">
        <v>1461</v>
      </c>
      <c r="AQ168" t="s">
        <v>16</v>
      </c>
      <c r="AR168" t="s">
        <v>1462</v>
      </c>
      <c r="AS168" t="s">
        <v>1463</v>
      </c>
      <c r="AT168" t="s">
        <v>769</v>
      </c>
      <c r="AU168">
        <v>1997</v>
      </c>
      <c r="AV168">
        <v>89</v>
      </c>
      <c r="AW168">
        <v>4</v>
      </c>
      <c r="AX168" t="s">
        <v>16</v>
      </c>
      <c r="AY168" t="s">
        <v>16</v>
      </c>
      <c r="AZ168" t="s">
        <v>16</v>
      </c>
      <c r="BA168" t="s">
        <v>16</v>
      </c>
      <c r="BB168">
        <v>613</v>
      </c>
      <c r="BC168">
        <v>620</v>
      </c>
      <c r="BD168" t="s">
        <v>16</v>
      </c>
      <c r="BE168" t="s">
        <v>3167</v>
      </c>
      <c r="BF168" t="str">
        <f>HYPERLINK("http://dx.doi.org/10.2134/agronj1997.00021962008900040013x","http://dx.doi.org/10.2134/agronj1997.00021962008900040013x")</f>
        <v>http://dx.doi.org/10.2134/agronj1997.00021962008900040013x</v>
      </c>
      <c r="BG168" t="s">
        <v>16</v>
      </c>
      <c r="BH168" t="s">
        <v>16</v>
      </c>
      <c r="BI168">
        <v>8</v>
      </c>
      <c r="BJ168" t="s">
        <v>40</v>
      </c>
      <c r="BK168" t="s">
        <v>73</v>
      </c>
      <c r="BL168" t="s">
        <v>42</v>
      </c>
      <c r="BM168" t="s">
        <v>3168</v>
      </c>
      <c r="BN168" t="s">
        <v>16</v>
      </c>
      <c r="BO168" t="s">
        <v>16</v>
      </c>
      <c r="BP168" t="s">
        <v>16</v>
      </c>
      <c r="BQ168" t="s">
        <v>16</v>
      </c>
      <c r="BR168" t="s">
        <v>44</v>
      </c>
      <c r="BS168" t="s">
        <v>3169</v>
      </c>
      <c r="BT168" t="str">
        <f>HYPERLINK("https%3A%2F%2Fwww.webofscience.com%2Fwos%2Fwoscc%2Ffull-record%2FWOS:A1997XU06400013","View Full Record in Web of Science")</f>
        <v>View Full Record in Web of Science</v>
      </c>
    </row>
    <row r="169" spans="1:72" x14ac:dyDescent="0.2">
      <c r="A169" t="s">
        <v>46</v>
      </c>
      <c r="B169" t="s">
        <v>3170</v>
      </c>
      <c r="C169" t="s">
        <v>16</v>
      </c>
      <c r="D169" t="s">
        <v>16</v>
      </c>
      <c r="E169" t="s">
        <v>16</v>
      </c>
      <c r="F169" t="s">
        <v>3170</v>
      </c>
      <c r="G169" t="s">
        <v>16</v>
      </c>
      <c r="H169" t="s">
        <v>16</v>
      </c>
      <c r="I169" t="s">
        <v>3171</v>
      </c>
      <c r="J169" t="s">
        <v>3172</v>
      </c>
      <c r="K169" t="s">
        <v>16</v>
      </c>
      <c r="L169" t="s">
        <v>16</v>
      </c>
      <c r="M169" t="s">
        <v>3173</v>
      </c>
      <c r="N169" t="s">
        <v>51</v>
      </c>
      <c r="O169" t="s">
        <v>16</v>
      </c>
      <c r="P169" t="s">
        <v>16</v>
      </c>
      <c r="Q169" t="s">
        <v>16</v>
      </c>
      <c r="R169" t="s">
        <v>16</v>
      </c>
      <c r="S169" t="s">
        <v>16</v>
      </c>
      <c r="T169" t="s">
        <v>3174</v>
      </c>
      <c r="U169" t="s">
        <v>16</v>
      </c>
      <c r="V169" t="s">
        <v>3175</v>
      </c>
      <c r="W169" t="s">
        <v>16</v>
      </c>
      <c r="X169" t="s">
        <v>16</v>
      </c>
      <c r="Y169" t="s">
        <v>3176</v>
      </c>
      <c r="Z169" t="s">
        <v>16</v>
      </c>
      <c r="AA169" t="s">
        <v>16</v>
      </c>
      <c r="AB169" t="s">
        <v>16</v>
      </c>
      <c r="AC169" t="s">
        <v>16</v>
      </c>
      <c r="AD169" t="s">
        <v>16</v>
      </c>
      <c r="AE169" t="s">
        <v>16</v>
      </c>
      <c r="AF169" t="s">
        <v>16</v>
      </c>
      <c r="AG169">
        <v>0</v>
      </c>
      <c r="AH169">
        <v>0</v>
      </c>
      <c r="AI169">
        <v>0</v>
      </c>
      <c r="AJ169">
        <v>0</v>
      </c>
      <c r="AK169">
        <v>2</v>
      </c>
      <c r="AL169" t="s">
        <v>3177</v>
      </c>
      <c r="AM169" t="s">
        <v>3178</v>
      </c>
      <c r="AN169" t="s">
        <v>3179</v>
      </c>
      <c r="AO169" t="s">
        <v>3180</v>
      </c>
      <c r="AP169" t="s">
        <v>16</v>
      </c>
      <c r="AQ169" t="s">
        <v>16</v>
      </c>
      <c r="AR169" t="s">
        <v>3181</v>
      </c>
      <c r="AS169" t="s">
        <v>3182</v>
      </c>
      <c r="AT169" t="s">
        <v>623</v>
      </c>
      <c r="AU169">
        <v>1993</v>
      </c>
      <c r="AV169" t="s">
        <v>16</v>
      </c>
      <c r="AW169">
        <v>161</v>
      </c>
      <c r="AX169" t="s">
        <v>16</v>
      </c>
      <c r="AY169" t="s">
        <v>16</v>
      </c>
      <c r="AZ169" t="s">
        <v>16</v>
      </c>
      <c r="BA169" t="s">
        <v>16</v>
      </c>
      <c r="BB169">
        <v>47</v>
      </c>
      <c r="BC169">
        <v>61</v>
      </c>
      <c r="BD169" t="s">
        <v>16</v>
      </c>
      <c r="BE169" t="s">
        <v>16</v>
      </c>
      <c r="BF169" t="s">
        <v>16</v>
      </c>
      <c r="BG169" t="s">
        <v>16</v>
      </c>
      <c r="BH169" t="s">
        <v>16</v>
      </c>
      <c r="BI169">
        <v>15</v>
      </c>
      <c r="BJ169" t="s">
        <v>296</v>
      </c>
      <c r="BK169" t="s">
        <v>73</v>
      </c>
      <c r="BL169" t="s">
        <v>42</v>
      </c>
      <c r="BM169" t="s">
        <v>3183</v>
      </c>
      <c r="BN169" t="s">
        <v>16</v>
      </c>
      <c r="BO169" t="s">
        <v>16</v>
      </c>
      <c r="BP169" t="s">
        <v>16</v>
      </c>
      <c r="BQ169" t="s">
        <v>16</v>
      </c>
      <c r="BR169" t="s">
        <v>44</v>
      </c>
      <c r="BS169" t="s">
        <v>3184</v>
      </c>
      <c r="BT169" t="str">
        <f>HYPERLINK("https%3A%2F%2Fwww.webofscience.com%2Fwos%2Fwoscc%2Ffull-record%2FWOS:A1993LV98300005","View Full Record in Web of Science")</f>
        <v>View Full Record in Web of Science</v>
      </c>
    </row>
    <row r="170" spans="1:72" x14ac:dyDescent="0.2">
      <c r="A170" t="s">
        <v>46</v>
      </c>
      <c r="B170" t="s">
        <v>3185</v>
      </c>
      <c r="C170" t="s">
        <v>16</v>
      </c>
      <c r="D170" t="s">
        <v>16</v>
      </c>
      <c r="E170" t="s">
        <v>16</v>
      </c>
      <c r="F170" t="s">
        <v>3186</v>
      </c>
      <c r="G170" t="s">
        <v>16</v>
      </c>
      <c r="H170" t="s">
        <v>16</v>
      </c>
      <c r="I170" t="s">
        <v>3187</v>
      </c>
      <c r="J170" t="s">
        <v>3188</v>
      </c>
      <c r="K170" t="s">
        <v>16</v>
      </c>
      <c r="L170" t="s">
        <v>16</v>
      </c>
      <c r="M170" t="s">
        <v>22</v>
      </c>
      <c r="N170" t="s">
        <v>51</v>
      </c>
      <c r="O170" t="s">
        <v>16</v>
      </c>
      <c r="P170" t="s">
        <v>16</v>
      </c>
      <c r="Q170" t="s">
        <v>16</v>
      </c>
      <c r="R170" t="s">
        <v>16</v>
      </c>
      <c r="S170" t="s">
        <v>16</v>
      </c>
      <c r="T170" t="s">
        <v>16</v>
      </c>
      <c r="U170" t="s">
        <v>3189</v>
      </c>
      <c r="V170" t="s">
        <v>3190</v>
      </c>
      <c r="W170" t="s">
        <v>3191</v>
      </c>
      <c r="X170" t="s">
        <v>3192</v>
      </c>
      <c r="Y170" t="s">
        <v>3193</v>
      </c>
      <c r="Z170" t="s">
        <v>3194</v>
      </c>
      <c r="AA170" t="s">
        <v>3195</v>
      </c>
      <c r="AB170" t="s">
        <v>3196</v>
      </c>
      <c r="AC170" t="s">
        <v>3197</v>
      </c>
      <c r="AD170" t="s">
        <v>1136</v>
      </c>
      <c r="AE170" t="s">
        <v>3198</v>
      </c>
      <c r="AF170" t="s">
        <v>16</v>
      </c>
      <c r="AG170">
        <v>87</v>
      </c>
      <c r="AH170">
        <v>14</v>
      </c>
      <c r="AI170">
        <v>14</v>
      </c>
      <c r="AJ170">
        <v>3</v>
      </c>
      <c r="AK170">
        <v>41</v>
      </c>
      <c r="AL170" t="s">
        <v>3199</v>
      </c>
      <c r="AM170" t="s">
        <v>3200</v>
      </c>
      <c r="AN170" t="s">
        <v>3201</v>
      </c>
      <c r="AO170" t="s">
        <v>3202</v>
      </c>
      <c r="AP170" t="s">
        <v>3203</v>
      </c>
      <c r="AQ170" t="s">
        <v>16</v>
      </c>
      <c r="AR170" t="s">
        <v>3204</v>
      </c>
      <c r="AS170" t="s">
        <v>3205</v>
      </c>
      <c r="AT170" t="s">
        <v>70</v>
      </c>
      <c r="AU170">
        <v>2018</v>
      </c>
      <c r="AV170">
        <v>176</v>
      </c>
      <c r="AW170">
        <v>1</v>
      </c>
      <c r="AX170" t="s">
        <v>16</v>
      </c>
      <c r="AY170" t="s">
        <v>16</v>
      </c>
      <c r="AZ170" t="s">
        <v>16</v>
      </c>
      <c r="BA170" t="s">
        <v>16</v>
      </c>
      <c r="BB170">
        <v>704</v>
      </c>
      <c r="BC170">
        <v>716</v>
      </c>
      <c r="BD170" t="s">
        <v>16</v>
      </c>
      <c r="BE170" t="s">
        <v>3206</v>
      </c>
      <c r="BF170" t="str">
        <f>HYPERLINK("http://dx.doi.org/10.1104/pp.17.00986","http://dx.doi.org/10.1104/pp.17.00986")</f>
        <v>http://dx.doi.org/10.1104/pp.17.00986</v>
      </c>
      <c r="BG170" t="s">
        <v>16</v>
      </c>
      <c r="BH170" t="s">
        <v>16</v>
      </c>
      <c r="BI170">
        <v>13</v>
      </c>
      <c r="BJ170" t="s">
        <v>214</v>
      </c>
      <c r="BK170" t="s">
        <v>73</v>
      </c>
      <c r="BL170" t="s">
        <v>214</v>
      </c>
      <c r="BM170" t="s">
        <v>3207</v>
      </c>
      <c r="BN170">
        <v>29142024</v>
      </c>
      <c r="BO170" t="s">
        <v>2852</v>
      </c>
      <c r="BP170" t="s">
        <v>16</v>
      </c>
      <c r="BQ170" t="s">
        <v>16</v>
      </c>
      <c r="BR170" t="s">
        <v>44</v>
      </c>
      <c r="BS170" t="s">
        <v>3208</v>
      </c>
      <c r="BT170" t="str">
        <f>HYPERLINK("https%3A%2F%2Fwww.webofscience.com%2Fwos%2Fwoscc%2Ffull-record%2FWOS:000419675300055","View Full Record in Web of Science")</f>
        <v>View Full Record in Web of Science</v>
      </c>
    </row>
    <row r="171" spans="1:72" x14ac:dyDescent="0.2">
      <c r="A171" t="s">
        <v>46</v>
      </c>
      <c r="B171" t="s">
        <v>3209</v>
      </c>
      <c r="C171" t="s">
        <v>16</v>
      </c>
      <c r="D171" t="s">
        <v>16</v>
      </c>
      <c r="E171" t="s">
        <v>16</v>
      </c>
      <c r="F171" t="s">
        <v>3210</v>
      </c>
      <c r="G171" t="s">
        <v>16</v>
      </c>
      <c r="H171" t="s">
        <v>16</v>
      </c>
      <c r="I171" t="s">
        <v>3211</v>
      </c>
      <c r="J171" t="s">
        <v>220</v>
      </c>
      <c r="K171" t="s">
        <v>16</v>
      </c>
      <c r="L171" t="s">
        <v>16</v>
      </c>
      <c r="M171" t="s">
        <v>22</v>
      </c>
      <c r="N171" t="s">
        <v>51</v>
      </c>
      <c r="O171" t="s">
        <v>16</v>
      </c>
      <c r="P171" t="s">
        <v>16</v>
      </c>
      <c r="Q171" t="s">
        <v>16</v>
      </c>
      <c r="R171" t="s">
        <v>16</v>
      </c>
      <c r="S171" t="s">
        <v>16</v>
      </c>
      <c r="T171" t="s">
        <v>3212</v>
      </c>
      <c r="U171" t="s">
        <v>3213</v>
      </c>
      <c r="V171" t="s">
        <v>3214</v>
      </c>
      <c r="W171" t="s">
        <v>3215</v>
      </c>
      <c r="X171" t="s">
        <v>3216</v>
      </c>
      <c r="Y171" t="s">
        <v>3217</v>
      </c>
      <c r="Z171" t="s">
        <v>3218</v>
      </c>
      <c r="AA171" t="s">
        <v>16</v>
      </c>
      <c r="AB171" t="s">
        <v>2289</v>
      </c>
      <c r="AC171" t="s">
        <v>16</v>
      </c>
      <c r="AD171" t="s">
        <v>16</v>
      </c>
      <c r="AE171" t="s">
        <v>16</v>
      </c>
      <c r="AF171" t="s">
        <v>16</v>
      </c>
      <c r="AG171">
        <v>24</v>
      </c>
      <c r="AH171">
        <v>18</v>
      </c>
      <c r="AI171">
        <v>24</v>
      </c>
      <c r="AJ171">
        <v>0</v>
      </c>
      <c r="AK171">
        <v>12</v>
      </c>
      <c r="AL171" t="s">
        <v>128</v>
      </c>
      <c r="AM171" t="s">
        <v>225</v>
      </c>
      <c r="AN171" t="s">
        <v>357</v>
      </c>
      <c r="AO171" t="s">
        <v>227</v>
      </c>
      <c r="AP171" t="s">
        <v>700</v>
      </c>
      <c r="AQ171" t="s">
        <v>16</v>
      </c>
      <c r="AR171" t="s">
        <v>220</v>
      </c>
      <c r="AS171" t="s">
        <v>228</v>
      </c>
      <c r="AT171" t="s">
        <v>464</v>
      </c>
      <c r="AU171">
        <v>2008</v>
      </c>
      <c r="AV171">
        <v>161</v>
      </c>
      <c r="AW171" t="s">
        <v>1296</v>
      </c>
      <c r="AX171" t="s">
        <v>16</v>
      </c>
      <c r="AY171" t="s">
        <v>16</v>
      </c>
      <c r="AZ171" t="s">
        <v>16</v>
      </c>
      <c r="BA171" t="s">
        <v>16</v>
      </c>
      <c r="BB171">
        <v>71</v>
      </c>
      <c r="BC171">
        <v>84</v>
      </c>
      <c r="BD171" t="s">
        <v>16</v>
      </c>
      <c r="BE171" t="s">
        <v>3219</v>
      </c>
      <c r="BF171" t="str">
        <f>HYPERLINK("http://dx.doi.org/10.1007/s10681-007-9607-z","http://dx.doi.org/10.1007/s10681-007-9607-z")</f>
        <v>http://dx.doi.org/10.1007/s10681-007-9607-z</v>
      </c>
      <c r="BG171" t="s">
        <v>16</v>
      </c>
      <c r="BH171" t="s">
        <v>16</v>
      </c>
      <c r="BI171">
        <v>14</v>
      </c>
      <c r="BJ171" t="s">
        <v>296</v>
      </c>
      <c r="BK171" t="s">
        <v>73</v>
      </c>
      <c r="BL171" t="s">
        <v>94</v>
      </c>
      <c r="BM171" t="s">
        <v>1298</v>
      </c>
      <c r="BN171" t="s">
        <v>16</v>
      </c>
      <c r="BO171" t="s">
        <v>16</v>
      </c>
      <c r="BP171" t="s">
        <v>16</v>
      </c>
      <c r="BQ171" t="s">
        <v>16</v>
      </c>
      <c r="BR171" t="s">
        <v>44</v>
      </c>
      <c r="BS171" t="s">
        <v>3220</v>
      </c>
      <c r="BT171" t="str">
        <f>HYPERLINK("https%3A%2F%2Fwww.webofscience.com%2Fwos%2Fwoscc%2Ffull-record%2FWOS:000254877800006","View Full Record in Web of Science")</f>
        <v>View Full Record in Web of Science</v>
      </c>
    </row>
    <row r="172" spans="1:72" x14ac:dyDescent="0.2">
      <c r="A172" t="s">
        <v>46</v>
      </c>
      <c r="B172" t="s">
        <v>3221</v>
      </c>
      <c r="C172" t="s">
        <v>16</v>
      </c>
      <c r="D172" t="s">
        <v>16</v>
      </c>
      <c r="E172" t="s">
        <v>16</v>
      </c>
      <c r="F172" t="s">
        <v>3221</v>
      </c>
      <c r="G172" t="s">
        <v>16</v>
      </c>
      <c r="H172" t="s">
        <v>16</v>
      </c>
      <c r="I172" t="s">
        <v>3222</v>
      </c>
      <c r="J172" t="s">
        <v>50</v>
      </c>
      <c r="K172" t="s">
        <v>16</v>
      </c>
      <c r="L172" t="s">
        <v>16</v>
      </c>
      <c r="M172" t="s">
        <v>22</v>
      </c>
      <c r="N172" t="s">
        <v>51</v>
      </c>
      <c r="O172" t="s">
        <v>16</v>
      </c>
      <c r="P172" t="s">
        <v>16</v>
      </c>
      <c r="Q172" t="s">
        <v>16</v>
      </c>
      <c r="R172" t="s">
        <v>16</v>
      </c>
      <c r="S172" t="s">
        <v>16</v>
      </c>
      <c r="T172" t="s">
        <v>16</v>
      </c>
      <c r="U172" t="s">
        <v>16</v>
      </c>
      <c r="V172" t="s">
        <v>3223</v>
      </c>
      <c r="W172" t="s">
        <v>3224</v>
      </c>
      <c r="X172" t="s">
        <v>3225</v>
      </c>
      <c r="Y172" t="s">
        <v>3226</v>
      </c>
      <c r="Z172" t="s">
        <v>16</v>
      </c>
      <c r="AA172" t="s">
        <v>16</v>
      </c>
      <c r="AB172" t="s">
        <v>16</v>
      </c>
      <c r="AC172" t="s">
        <v>16</v>
      </c>
      <c r="AD172" t="s">
        <v>16</v>
      </c>
      <c r="AE172" t="s">
        <v>16</v>
      </c>
      <c r="AF172" t="s">
        <v>16</v>
      </c>
      <c r="AG172">
        <v>23</v>
      </c>
      <c r="AH172">
        <v>10</v>
      </c>
      <c r="AI172">
        <v>12</v>
      </c>
      <c r="AJ172">
        <v>0</v>
      </c>
      <c r="AK172">
        <v>3</v>
      </c>
      <c r="AL172" t="s">
        <v>63</v>
      </c>
      <c r="AM172" t="s">
        <v>64</v>
      </c>
      <c r="AN172" t="s">
        <v>65</v>
      </c>
      <c r="AO172" t="s">
        <v>66</v>
      </c>
      <c r="AP172" t="s">
        <v>67</v>
      </c>
      <c r="AQ172" t="s">
        <v>16</v>
      </c>
      <c r="AR172" t="s">
        <v>68</v>
      </c>
      <c r="AS172" t="s">
        <v>69</v>
      </c>
      <c r="AT172" t="s">
        <v>16</v>
      </c>
      <c r="AU172">
        <v>1981</v>
      </c>
      <c r="AV172">
        <v>21</v>
      </c>
      <c r="AW172">
        <v>4</v>
      </c>
      <c r="AX172" t="s">
        <v>16</v>
      </c>
      <c r="AY172" t="s">
        <v>16</v>
      </c>
      <c r="AZ172" t="s">
        <v>16</v>
      </c>
      <c r="BA172" t="s">
        <v>16</v>
      </c>
      <c r="BB172">
        <v>572</v>
      </c>
      <c r="BC172">
        <v>577</v>
      </c>
      <c r="BD172" t="s">
        <v>16</v>
      </c>
      <c r="BE172" t="s">
        <v>3227</v>
      </c>
      <c r="BF172" t="str">
        <f>HYPERLINK("http://dx.doi.org/10.2135/cropsci1981.0011183X002100040025x","http://dx.doi.org/10.2135/cropsci1981.0011183X002100040025x")</f>
        <v>http://dx.doi.org/10.2135/cropsci1981.0011183X002100040025x</v>
      </c>
      <c r="BG172" t="s">
        <v>16</v>
      </c>
      <c r="BH172" t="s">
        <v>16</v>
      </c>
      <c r="BI172">
        <v>6</v>
      </c>
      <c r="BJ172" t="s">
        <v>40</v>
      </c>
      <c r="BK172" t="s">
        <v>73</v>
      </c>
      <c r="BL172" t="s">
        <v>42</v>
      </c>
      <c r="BM172" t="s">
        <v>3228</v>
      </c>
      <c r="BN172" t="s">
        <v>16</v>
      </c>
      <c r="BO172" t="s">
        <v>16</v>
      </c>
      <c r="BP172" t="s">
        <v>16</v>
      </c>
      <c r="BQ172" t="s">
        <v>16</v>
      </c>
      <c r="BR172" t="s">
        <v>44</v>
      </c>
      <c r="BS172" t="s">
        <v>3229</v>
      </c>
      <c r="BT172" t="str">
        <f>HYPERLINK("https%3A%2F%2Fwww.webofscience.com%2Fwos%2Fwoscc%2Ffull-record%2FWOS:A1981ME18900023","View Full Record in Web of Science")</f>
        <v>View Full Record in Web of Science</v>
      </c>
    </row>
    <row r="173" spans="1:72" x14ac:dyDescent="0.2">
      <c r="A173" t="s">
        <v>46</v>
      </c>
      <c r="B173" t="s">
        <v>3230</v>
      </c>
      <c r="C173" t="s">
        <v>16</v>
      </c>
      <c r="D173" t="s">
        <v>16</v>
      </c>
      <c r="E173" t="s">
        <v>16</v>
      </c>
      <c r="F173" t="s">
        <v>3231</v>
      </c>
      <c r="G173" t="s">
        <v>16</v>
      </c>
      <c r="H173" t="s">
        <v>16</v>
      </c>
      <c r="I173" t="s">
        <v>3232</v>
      </c>
      <c r="J173" t="s">
        <v>3233</v>
      </c>
      <c r="K173" t="s">
        <v>16</v>
      </c>
      <c r="L173" t="s">
        <v>16</v>
      </c>
      <c r="M173" t="s">
        <v>22</v>
      </c>
      <c r="N173" t="s">
        <v>51</v>
      </c>
      <c r="O173" t="s">
        <v>16</v>
      </c>
      <c r="P173" t="s">
        <v>16</v>
      </c>
      <c r="Q173" t="s">
        <v>16</v>
      </c>
      <c r="R173" t="s">
        <v>16</v>
      </c>
      <c r="S173" t="s">
        <v>16</v>
      </c>
      <c r="T173" t="s">
        <v>3234</v>
      </c>
      <c r="U173" t="s">
        <v>3235</v>
      </c>
      <c r="V173" t="s">
        <v>3236</v>
      </c>
      <c r="W173" t="s">
        <v>3237</v>
      </c>
      <c r="X173" t="s">
        <v>3238</v>
      </c>
      <c r="Y173" t="s">
        <v>3239</v>
      </c>
      <c r="Z173" t="s">
        <v>3240</v>
      </c>
      <c r="AA173" t="s">
        <v>16</v>
      </c>
      <c r="AB173" t="s">
        <v>3241</v>
      </c>
      <c r="AC173" t="s">
        <v>3242</v>
      </c>
      <c r="AD173" t="s">
        <v>3243</v>
      </c>
      <c r="AE173" t="s">
        <v>3244</v>
      </c>
      <c r="AF173" t="s">
        <v>16</v>
      </c>
      <c r="AG173">
        <v>57</v>
      </c>
      <c r="AH173">
        <v>5</v>
      </c>
      <c r="AI173">
        <v>5</v>
      </c>
      <c r="AJ173">
        <v>0</v>
      </c>
      <c r="AK173">
        <v>12</v>
      </c>
      <c r="AL173" t="s">
        <v>595</v>
      </c>
      <c r="AM173" t="s">
        <v>596</v>
      </c>
      <c r="AN173" t="s">
        <v>597</v>
      </c>
      <c r="AO173" t="s">
        <v>3245</v>
      </c>
      <c r="AP173" t="s">
        <v>3246</v>
      </c>
      <c r="AQ173" t="s">
        <v>16</v>
      </c>
      <c r="AR173" t="s">
        <v>3247</v>
      </c>
      <c r="AS173" t="s">
        <v>3248</v>
      </c>
      <c r="AT173" t="s">
        <v>3249</v>
      </c>
      <c r="AU173">
        <v>2019</v>
      </c>
      <c r="AV173">
        <v>114</v>
      </c>
      <c r="AW173">
        <v>526</v>
      </c>
      <c r="AX173" t="s">
        <v>16</v>
      </c>
      <c r="AY173" t="s">
        <v>16</v>
      </c>
      <c r="AZ173" t="s">
        <v>16</v>
      </c>
      <c r="BA173" t="s">
        <v>16</v>
      </c>
      <c r="BB173">
        <v>610</v>
      </c>
      <c r="BC173">
        <v>621</v>
      </c>
      <c r="BD173" t="s">
        <v>16</v>
      </c>
      <c r="BE173" t="s">
        <v>3250</v>
      </c>
      <c r="BF173" t="str">
        <f>HYPERLINK("http://dx.doi.org/10.1080/01621459.2018.1497496","http://dx.doi.org/10.1080/01621459.2018.1497496")</f>
        <v>http://dx.doi.org/10.1080/01621459.2018.1497496</v>
      </c>
      <c r="BG173" t="s">
        <v>16</v>
      </c>
      <c r="BH173" t="s">
        <v>16</v>
      </c>
      <c r="BI173">
        <v>12</v>
      </c>
      <c r="BJ173" t="s">
        <v>1313</v>
      </c>
      <c r="BK173" t="s">
        <v>73</v>
      </c>
      <c r="BL173" t="s">
        <v>168</v>
      </c>
      <c r="BM173" t="s">
        <v>3251</v>
      </c>
      <c r="BN173">
        <v>31354180</v>
      </c>
      <c r="BO173" t="s">
        <v>3252</v>
      </c>
      <c r="BP173" t="s">
        <v>16</v>
      </c>
      <c r="BQ173" t="s">
        <v>16</v>
      </c>
      <c r="BR173" t="s">
        <v>44</v>
      </c>
      <c r="BS173" t="s">
        <v>3253</v>
      </c>
      <c r="BT173" t="str">
        <f>HYPERLINK("https%3A%2F%2Fwww.webofscience.com%2Fwos%2Fwoscc%2Ffull-record%2FWOS:000472559400009","View Full Record in Web of Science")</f>
        <v>View Full Record in Web of Science</v>
      </c>
    </row>
    <row r="174" spans="1:72" x14ac:dyDescent="0.2">
      <c r="A174" t="s">
        <v>46</v>
      </c>
      <c r="B174" t="s">
        <v>3254</v>
      </c>
      <c r="C174" t="s">
        <v>16</v>
      </c>
      <c r="D174" t="s">
        <v>16</v>
      </c>
      <c r="E174" t="s">
        <v>16</v>
      </c>
      <c r="F174" t="s">
        <v>3255</v>
      </c>
      <c r="G174" t="s">
        <v>16</v>
      </c>
      <c r="H174" t="s">
        <v>16</v>
      </c>
      <c r="I174" t="s">
        <v>3256</v>
      </c>
      <c r="J174" t="s">
        <v>3257</v>
      </c>
      <c r="K174" t="s">
        <v>16</v>
      </c>
      <c r="L174" t="s">
        <v>16</v>
      </c>
      <c r="M174" t="s">
        <v>22</v>
      </c>
      <c r="N174" t="s">
        <v>51</v>
      </c>
      <c r="O174" t="s">
        <v>16</v>
      </c>
      <c r="P174" t="s">
        <v>16</v>
      </c>
      <c r="Q174" t="s">
        <v>16</v>
      </c>
      <c r="R174" t="s">
        <v>16</v>
      </c>
      <c r="S174" t="s">
        <v>16</v>
      </c>
      <c r="T174" t="s">
        <v>3258</v>
      </c>
      <c r="U174" t="s">
        <v>3259</v>
      </c>
      <c r="V174" t="s">
        <v>3260</v>
      </c>
      <c r="W174" t="s">
        <v>3261</v>
      </c>
      <c r="X174" t="s">
        <v>3262</v>
      </c>
      <c r="Y174" t="s">
        <v>3263</v>
      </c>
      <c r="Z174" t="s">
        <v>3264</v>
      </c>
      <c r="AA174" t="s">
        <v>3265</v>
      </c>
      <c r="AB174" t="s">
        <v>3266</v>
      </c>
      <c r="AC174" t="s">
        <v>3267</v>
      </c>
      <c r="AD174" t="s">
        <v>3268</v>
      </c>
      <c r="AE174" t="s">
        <v>3269</v>
      </c>
      <c r="AF174" t="s">
        <v>16</v>
      </c>
      <c r="AG174">
        <v>26</v>
      </c>
      <c r="AH174">
        <v>1</v>
      </c>
      <c r="AI174">
        <v>1</v>
      </c>
      <c r="AJ174">
        <v>0</v>
      </c>
      <c r="AK174">
        <v>1</v>
      </c>
      <c r="AL174" t="s">
        <v>569</v>
      </c>
      <c r="AM174" t="s">
        <v>570</v>
      </c>
      <c r="AN174" t="s">
        <v>571</v>
      </c>
      <c r="AO174" t="s">
        <v>3270</v>
      </c>
      <c r="AP174" t="s">
        <v>3271</v>
      </c>
      <c r="AQ174" t="s">
        <v>16</v>
      </c>
      <c r="AR174" t="s">
        <v>3272</v>
      </c>
      <c r="AS174" t="s">
        <v>3273</v>
      </c>
      <c r="AT174" t="s">
        <v>1138</v>
      </c>
      <c r="AU174">
        <v>2024</v>
      </c>
      <c r="AV174">
        <v>170</v>
      </c>
      <c r="AW174" t="s">
        <v>16</v>
      </c>
      <c r="AX174" t="s">
        <v>16</v>
      </c>
      <c r="AY174" t="s">
        <v>16</v>
      </c>
      <c r="AZ174" t="s">
        <v>16</v>
      </c>
      <c r="BA174" t="s">
        <v>16</v>
      </c>
      <c r="BB174">
        <v>97</v>
      </c>
      <c r="BC174">
        <v>104</v>
      </c>
      <c r="BD174" t="s">
        <v>16</v>
      </c>
      <c r="BE174" t="s">
        <v>3274</v>
      </c>
      <c r="BF174" t="str">
        <f>HYPERLINK("http://dx.doi.org/10.1016/j.sajb.2024.05.007","http://dx.doi.org/10.1016/j.sajb.2024.05.007")</f>
        <v>http://dx.doi.org/10.1016/j.sajb.2024.05.007</v>
      </c>
      <c r="BG174" t="s">
        <v>16</v>
      </c>
      <c r="BH174" t="s">
        <v>1920</v>
      </c>
      <c r="BI174">
        <v>8</v>
      </c>
      <c r="BJ174" t="s">
        <v>214</v>
      </c>
      <c r="BK174" t="s">
        <v>73</v>
      </c>
      <c r="BL174" t="s">
        <v>214</v>
      </c>
      <c r="BM174" t="s">
        <v>3275</v>
      </c>
      <c r="BN174" t="s">
        <v>16</v>
      </c>
      <c r="BO174" t="s">
        <v>16</v>
      </c>
      <c r="BP174" t="s">
        <v>16</v>
      </c>
      <c r="BQ174" t="s">
        <v>16</v>
      </c>
      <c r="BR174" t="s">
        <v>44</v>
      </c>
      <c r="BS174" t="s">
        <v>3276</v>
      </c>
      <c r="BT174" t="str">
        <f>HYPERLINK("https%3A%2F%2Fwww.webofscience.com%2Fwos%2Fwoscc%2Ffull-record%2FWOS:001243404000001","View Full Record in Web of Science")</f>
        <v>View Full Record in Web of Science</v>
      </c>
    </row>
    <row r="175" spans="1:72" x14ac:dyDescent="0.2">
      <c r="A175" t="s">
        <v>46</v>
      </c>
      <c r="B175" t="s">
        <v>3277</v>
      </c>
      <c r="C175" t="s">
        <v>16</v>
      </c>
      <c r="D175" t="s">
        <v>16</v>
      </c>
      <c r="E175" t="s">
        <v>16</v>
      </c>
      <c r="F175" t="s">
        <v>3278</v>
      </c>
      <c r="G175" t="s">
        <v>16</v>
      </c>
      <c r="H175" t="s">
        <v>16</v>
      </c>
      <c r="I175" t="s">
        <v>3279</v>
      </c>
      <c r="J175" t="s">
        <v>3280</v>
      </c>
      <c r="K175" t="s">
        <v>16</v>
      </c>
      <c r="L175" t="s">
        <v>16</v>
      </c>
      <c r="M175" t="s">
        <v>22</v>
      </c>
      <c r="N175" t="s">
        <v>51</v>
      </c>
      <c r="O175" t="s">
        <v>16</v>
      </c>
      <c r="P175" t="s">
        <v>16</v>
      </c>
      <c r="Q175" t="s">
        <v>16</v>
      </c>
      <c r="R175" t="s">
        <v>16</v>
      </c>
      <c r="S175" t="s">
        <v>16</v>
      </c>
      <c r="T175" t="s">
        <v>3281</v>
      </c>
      <c r="U175" t="s">
        <v>3282</v>
      </c>
      <c r="V175" t="s">
        <v>3283</v>
      </c>
      <c r="W175" t="s">
        <v>3284</v>
      </c>
      <c r="X175" t="s">
        <v>3285</v>
      </c>
      <c r="Y175" t="s">
        <v>3286</v>
      </c>
      <c r="Z175" t="s">
        <v>3287</v>
      </c>
      <c r="AA175" t="s">
        <v>3288</v>
      </c>
      <c r="AB175" t="s">
        <v>16</v>
      </c>
      <c r="AC175" t="s">
        <v>3289</v>
      </c>
      <c r="AD175" t="s">
        <v>3290</v>
      </c>
      <c r="AE175" t="s">
        <v>3291</v>
      </c>
      <c r="AF175" t="s">
        <v>16</v>
      </c>
      <c r="AG175">
        <v>32</v>
      </c>
      <c r="AH175">
        <v>1</v>
      </c>
      <c r="AI175">
        <v>1</v>
      </c>
      <c r="AJ175">
        <v>4</v>
      </c>
      <c r="AK175">
        <v>13</v>
      </c>
      <c r="AL175" t="s">
        <v>808</v>
      </c>
      <c r="AM175" t="s">
        <v>161</v>
      </c>
      <c r="AN175" t="s">
        <v>809</v>
      </c>
      <c r="AO175" t="s">
        <v>16</v>
      </c>
      <c r="AP175" t="s">
        <v>3292</v>
      </c>
      <c r="AQ175" t="s">
        <v>16</v>
      </c>
      <c r="AR175" t="s">
        <v>3293</v>
      </c>
      <c r="AS175" t="s">
        <v>3294</v>
      </c>
      <c r="AT175" t="s">
        <v>318</v>
      </c>
      <c r="AU175">
        <v>2022</v>
      </c>
      <c r="AV175">
        <v>13</v>
      </c>
      <c r="AW175">
        <v>12</v>
      </c>
      <c r="AX175" t="s">
        <v>16</v>
      </c>
      <c r="AY175" t="s">
        <v>16</v>
      </c>
      <c r="AZ175" t="s">
        <v>16</v>
      </c>
      <c r="BA175" t="s">
        <v>16</v>
      </c>
      <c r="BB175" t="s">
        <v>16</v>
      </c>
      <c r="BC175" t="s">
        <v>16</v>
      </c>
      <c r="BD175">
        <v>2193</v>
      </c>
      <c r="BE175" t="s">
        <v>3295</v>
      </c>
      <c r="BF175" t="str">
        <f>HYPERLINK("http://dx.doi.org/10.3390/genes13122193","http://dx.doi.org/10.3390/genes13122193")</f>
        <v>http://dx.doi.org/10.3390/genes13122193</v>
      </c>
      <c r="BG175" t="s">
        <v>16</v>
      </c>
      <c r="BH175" t="s">
        <v>16</v>
      </c>
      <c r="BI175">
        <v>12</v>
      </c>
      <c r="BJ175" t="s">
        <v>339</v>
      </c>
      <c r="BK175" t="s">
        <v>73</v>
      </c>
      <c r="BL175" t="s">
        <v>339</v>
      </c>
      <c r="BM175" t="s">
        <v>3296</v>
      </c>
      <c r="BN175">
        <v>36553460</v>
      </c>
      <c r="BO175" t="s">
        <v>511</v>
      </c>
      <c r="BP175" t="s">
        <v>16</v>
      </c>
      <c r="BQ175" t="s">
        <v>16</v>
      </c>
      <c r="BR175" t="s">
        <v>44</v>
      </c>
      <c r="BS175" t="s">
        <v>3297</v>
      </c>
      <c r="BT175" t="str">
        <f>HYPERLINK("https%3A%2F%2Fwww.webofscience.com%2Fwos%2Fwoscc%2Ffull-record%2FWOS:000900886200001","View Full Record in Web of Science")</f>
        <v>View Full Record in Web of Science</v>
      </c>
    </row>
    <row r="176" spans="1:72" x14ac:dyDescent="0.2">
      <c r="A176" t="s">
        <v>46</v>
      </c>
      <c r="B176" t="s">
        <v>3298</v>
      </c>
      <c r="C176" t="s">
        <v>16</v>
      </c>
      <c r="D176" t="s">
        <v>16</v>
      </c>
      <c r="E176" t="s">
        <v>16</v>
      </c>
      <c r="F176" t="s">
        <v>3299</v>
      </c>
      <c r="G176" t="s">
        <v>16</v>
      </c>
      <c r="H176" t="s">
        <v>16</v>
      </c>
      <c r="I176" t="s">
        <v>3300</v>
      </c>
      <c r="J176" t="s">
        <v>3301</v>
      </c>
      <c r="K176" t="s">
        <v>16</v>
      </c>
      <c r="L176" t="s">
        <v>16</v>
      </c>
      <c r="M176" t="s">
        <v>22</v>
      </c>
      <c r="N176" t="s">
        <v>51</v>
      </c>
      <c r="O176" t="s">
        <v>16</v>
      </c>
      <c r="P176" t="s">
        <v>16</v>
      </c>
      <c r="Q176" t="s">
        <v>16</v>
      </c>
      <c r="R176" t="s">
        <v>16</v>
      </c>
      <c r="S176" t="s">
        <v>16</v>
      </c>
      <c r="T176" t="s">
        <v>3302</v>
      </c>
      <c r="U176" t="s">
        <v>3303</v>
      </c>
      <c r="V176" t="s">
        <v>3304</v>
      </c>
      <c r="W176" t="s">
        <v>3305</v>
      </c>
      <c r="X176" t="s">
        <v>3306</v>
      </c>
      <c r="Y176" t="s">
        <v>3307</v>
      </c>
      <c r="Z176" t="s">
        <v>3308</v>
      </c>
      <c r="AA176" t="s">
        <v>16</v>
      </c>
      <c r="AB176" t="s">
        <v>16</v>
      </c>
      <c r="AC176" t="s">
        <v>3309</v>
      </c>
      <c r="AD176" t="s">
        <v>3309</v>
      </c>
      <c r="AE176" t="s">
        <v>3310</v>
      </c>
      <c r="AF176" t="s">
        <v>16</v>
      </c>
      <c r="AG176">
        <v>54</v>
      </c>
      <c r="AH176">
        <v>4</v>
      </c>
      <c r="AI176">
        <v>4</v>
      </c>
      <c r="AJ176">
        <v>3</v>
      </c>
      <c r="AK176">
        <v>27</v>
      </c>
      <c r="AL176" t="s">
        <v>63</v>
      </c>
      <c r="AM176" t="s">
        <v>64</v>
      </c>
      <c r="AN176" t="s">
        <v>65</v>
      </c>
      <c r="AO176" t="s">
        <v>3311</v>
      </c>
      <c r="AP176" t="s">
        <v>3312</v>
      </c>
      <c r="AQ176" t="s">
        <v>16</v>
      </c>
      <c r="AR176" t="s">
        <v>3313</v>
      </c>
      <c r="AS176" t="s">
        <v>3314</v>
      </c>
      <c r="AT176" t="s">
        <v>1233</v>
      </c>
      <c r="AU176">
        <v>2022</v>
      </c>
      <c r="AV176">
        <v>71</v>
      </c>
      <c r="AW176">
        <v>3</v>
      </c>
      <c r="AX176" t="s">
        <v>16</v>
      </c>
      <c r="AY176" t="s">
        <v>16</v>
      </c>
      <c r="AZ176" t="s">
        <v>16</v>
      </c>
      <c r="BA176" t="s">
        <v>16</v>
      </c>
      <c r="BB176">
        <v>544</v>
      </c>
      <c r="BC176">
        <v>555</v>
      </c>
      <c r="BD176" t="s">
        <v>16</v>
      </c>
      <c r="BE176" t="s">
        <v>3315</v>
      </c>
      <c r="BF176" t="str">
        <f>HYPERLINK("http://dx.doi.org/10.1111/ppa.13488","http://dx.doi.org/10.1111/ppa.13488")</f>
        <v>http://dx.doi.org/10.1111/ppa.13488</v>
      </c>
      <c r="BG176" t="s">
        <v>16</v>
      </c>
      <c r="BH176" t="s">
        <v>3316</v>
      </c>
      <c r="BI176">
        <v>12</v>
      </c>
      <c r="BJ176" t="s">
        <v>296</v>
      </c>
      <c r="BK176" t="s">
        <v>73</v>
      </c>
      <c r="BL176" t="s">
        <v>94</v>
      </c>
      <c r="BM176" t="s">
        <v>3317</v>
      </c>
      <c r="BN176" t="s">
        <v>16</v>
      </c>
      <c r="BO176" t="s">
        <v>16</v>
      </c>
      <c r="BP176" t="s">
        <v>16</v>
      </c>
      <c r="BQ176" t="s">
        <v>16</v>
      </c>
      <c r="BR176" t="s">
        <v>44</v>
      </c>
      <c r="BS176" t="s">
        <v>3318</v>
      </c>
      <c r="BT176" t="str">
        <f>HYPERLINK("https%3A%2F%2Fwww.webofscience.com%2Fwos%2Fwoscc%2Ffull-record%2FWOS:000708698800001","View Full Record in Web of Science")</f>
        <v>View Full Record in Web of Science</v>
      </c>
    </row>
    <row r="177" spans="1:72" x14ac:dyDescent="0.2">
      <c r="A177" t="s">
        <v>46</v>
      </c>
      <c r="B177" t="s">
        <v>3319</v>
      </c>
      <c r="C177" t="s">
        <v>16</v>
      </c>
      <c r="D177" t="s">
        <v>16</v>
      </c>
      <c r="E177" t="s">
        <v>16</v>
      </c>
      <c r="F177" t="s">
        <v>3319</v>
      </c>
      <c r="G177" t="s">
        <v>16</v>
      </c>
      <c r="H177" t="s">
        <v>16</v>
      </c>
      <c r="I177" t="s">
        <v>3320</v>
      </c>
      <c r="J177" t="s">
        <v>326</v>
      </c>
      <c r="K177" t="s">
        <v>16</v>
      </c>
      <c r="L177" t="s">
        <v>16</v>
      </c>
      <c r="M177" t="s">
        <v>22</v>
      </c>
      <c r="N177" t="s">
        <v>51</v>
      </c>
      <c r="O177" t="s">
        <v>16</v>
      </c>
      <c r="P177" t="s">
        <v>16</v>
      </c>
      <c r="Q177" t="s">
        <v>16</v>
      </c>
      <c r="R177" t="s">
        <v>16</v>
      </c>
      <c r="S177" t="s">
        <v>16</v>
      </c>
      <c r="T177" t="s">
        <v>16</v>
      </c>
      <c r="U177" t="s">
        <v>3321</v>
      </c>
      <c r="V177" t="s">
        <v>3322</v>
      </c>
      <c r="W177" t="s">
        <v>3323</v>
      </c>
      <c r="X177" t="s">
        <v>3324</v>
      </c>
      <c r="Y177" t="s">
        <v>3325</v>
      </c>
      <c r="Z177" t="s">
        <v>16</v>
      </c>
      <c r="AA177" t="s">
        <v>16</v>
      </c>
      <c r="AB177" t="s">
        <v>16</v>
      </c>
      <c r="AC177" t="s">
        <v>16</v>
      </c>
      <c r="AD177" t="s">
        <v>16</v>
      </c>
      <c r="AE177" t="s">
        <v>16</v>
      </c>
      <c r="AF177" t="s">
        <v>16</v>
      </c>
      <c r="AG177">
        <v>57</v>
      </c>
      <c r="AH177">
        <v>71</v>
      </c>
      <c r="AI177">
        <v>91</v>
      </c>
      <c r="AJ177">
        <v>0</v>
      </c>
      <c r="AK177">
        <v>9</v>
      </c>
      <c r="AL177" t="s">
        <v>326</v>
      </c>
      <c r="AM177" t="s">
        <v>2018</v>
      </c>
      <c r="AN177" t="s">
        <v>2019</v>
      </c>
      <c r="AO177" t="s">
        <v>335</v>
      </c>
      <c r="AP177" t="s">
        <v>16</v>
      </c>
      <c r="AQ177" t="s">
        <v>16</v>
      </c>
      <c r="AR177" t="s">
        <v>326</v>
      </c>
      <c r="AS177" t="s">
        <v>337</v>
      </c>
      <c r="AT177" t="s">
        <v>576</v>
      </c>
      <c r="AU177">
        <v>2001</v>
      </c>
      <c r="AV177">
        <v>159</v>
      </c>
      <c r="AW177">
        <v>2</v>
      </c>
      <c r="AX177" t="s">
        <v>16</v>
      </c>
      <c r="AY177" t="s">
        <v>16</v>
      </c>
      <c r="AZ177" t="s">
        <v>16</v>
      </c>
      <c r="BA177" t="s">
        <v>16</v>
      </c>
      <c r="BB177">
        <v>869</v>
      </c>
      <c r="BC177">
        <v>882</v>
      </c>
      <c r="BD177" t="s">
        <v>16</v>
      </c>
      <c r="BE177" t="s">
        <v>16</v>
      </c>
      <c r="BF177" t="s">
        <v>16</v>
      </c>
      <c r="BG177" t="s">
        <v>16</v>
      </c>
      <c r="BH177" t="s">
        <v>16</v>
      </c>
      <c r="BI177">
        <v>14</v>
      </c>
      <c r="BJ177" t="s">
        <v>339</v>
      </c>
      <c r="BK177" t="s">
        <v>73</v>
      </c>
      <c r="BL177" t="s">
        <v>339</v>
      </c>
      <c r="BM177" t="s">
        <v>3326</v>
      </c>
      <c r="BN177">
        <v>11606559</v>
      </c>
      <c r="BO177" t="s">
        <v>16</v>
      </c>
      <c r="BP177" t="s">
        <v>16</v>
      </c>
      <c r="BQ177" t="s">
        <v>16</v>
      </c>
      <c r="BR177" t="s">
        <v>44</v>
      </c>
      <c r="BS177" t="s">
        <v>3327</v>
      </c>
      <c r="BT177" t="str">
        <f>HYPERLINK("https%3A%2F%2Fwww.webofscience.com%2Fwos%2Fwoscc%2Ffull-record%2FWOS:000171744900037","View Full Record in Web of Science")</f>
        <v>View Full Record in Web of Science</v>
      </c>
    </row>
    <row r="178" spans="1:72" x14ac:dyDescent="0.2">
      <c r="A178" t="s">
        <v>46</v>
      </c>
      <c r="B178" t="s">
        <v>3328</v>
      </c>
      <c r="C178" t="s">
        <v>16</v>
      </c>
      <c r="D178" t="s">
        <v>16</v>
      </c>
      <c r="E178" t="s">
        <v>16</v>
      </c>
      <c r="F178" t="s">
        <v>3329</v>
      </c>
      <c r="G178" t="s">
        <v>16</v>
      </c>
      <c r="H178" t="s">
        <v>16</v>
      </c>
      <c r="I178" t="s">
        <v>3330</v>
      </c>
      <c r="J178" t="s">
        <v>3331</v>
      </c>
      <c r="K178" t="s">
        <v>16</v>
      </c>
      <c r="L178" t="s">
        <v>16</v>
      </c>
      <c r="M178" t="s">
        <v>22</v>
      </c>
      <c r="N178" t="s">
        <v>51</v>
      </c>
      <c r="O178" t="s">
        <v>16</v>
      </c>
      <c r="P178" t="s">
        <v>16</v>
      </c>
      <c r="Q178" t="s">
        <v>16</v>
      </c>
      <c r="R178" t="s">
        <v>16</v>
      </c>
      <c r="S178" t="s">
        <v>16</v>
      </c>
      <c r="T178" t="s">
        <v>3332</v>
      </c>
      <c r="U178" t="s">
        <v>3333</v>
      </c>
      <c r="V178" t="s">
        <v>3334</v>
      </c>
      <c r="W178" t="s">
        <v>3335</v>
      </c>
      <c r="X178" t="s">
        <v>3336</v>
      </c>
      <c r="Y178" t="s">
        <v>3337</v>
      </c>
      <c r="Z178" t="s">
        <v>3338</v>
      </c>
      <c r="AA178" t="s">
        <v>3339</v>
      </c>
      <c r="AB178" t="s">
        <v>1114</v>
      </c>
      <c r="AC178" t="s">
        <v>3340</v>
      </c>
      <c r="AD178" t="s">
        <v>3341</v>
      </c>
      <c r="AE178" t="s">
        <v>3342</v>
      </c>
      <c r="AF178" t="s">
        <v>16</v>
      </c>
      <c r="AG178">
        <v>103</v>
      </c>
      <c r="AH178">
        <v>29</v>
      </c>
      <c r="AI178">
        <v>31</v>
      </c>
      <c r="AJ178">
        <v>2</v>
      </c>
      <c r="AK178">
        <v>71</v>
      </c>
      <c r="AL178" t="s">
        <v>63</v>
      </c>
      <c r="AM178" t="s">
        <v>64</v>
      </c>
      <c r="AN178" t="s">
        <v>65</v>
      </c>
      <c r="AO178" t="s">
        <v>3343</v>
      </c>
      <c r="AP178" t="s">
        <v>3344</v>
      </c>
      <c r="AQ178" t="s">
        <v>16</v>
      </c>
      <c r="AR178" t="s">
        <v>3345</v>
      </c>
      <c r="AS178" t="s">
        <v>3346</v>
      </c>
      <c r="AT178" t="s">
        <v>812</v>
      </c>
      <c r="AU178">
        <v>2017</v>
      </c>
      <c r="AV178">
        <v>40</v>
      </c>
      <c r="AW178">
        <v>9</v>
      </c>
      <c r="AX178" t="s">
        <v>16</v>
      </c>
      <c r="AY178" t="s">
        <v>16</v>
      </c>
      <c r="AZ178" t="s">
        <v>16</v>
      </c>
      <c r="BA178" t="s">
        <v>16</v>
      </c>
      <c r="BB178">
        <v>1926</v>
      </c>
      <c r="BC178">
        <v>1939</v>
      </c>
      <c r="BD178" t="s">
        <v>16</v>
      </c>
      <c r="BE178" t="s">
        <v>3347</v>
      </c>
      <c r="BF178" t="str">
        <f>HYPERLINK("http://dx.doi.org/10.1111/pce.13001","http://dx.doi.org/10.1111/pce.13001")</f>
        <v>http://dx.doi.org/10.1111/pce.13001</v>
      </c>
      <c r="BG178" t="s">
        <v>16</v>
      </c>
      <c r="BH178" t="s">
        <v>16</v>
      </c>
      <c r="BI178">
        <v>14</v>
      </c>
      <c r="BJ178" t="s">
        <v>214</v>
      </c>
      <c r="BK178" t="s">
        <v>73</v>
      </c>
      <c r="BL178" t="s">
        <v>214</v>
      </c>
      <c r="BM178" t="s">
        <v>3348</v>
      </c>
      <c r="BN178">
        <v>28626887</v>
      </c>
      <c r="BO178" t="s">
        <v>3349</v>
      </c>
      <c r="BP178" t="s">
        <v>16</v>
      </c>
      <c r="BQ178" t="s">
        <v>16</v>
      </c>
      <c r="BR178" t="s">
        <v>44</v>
      </c>
      <c r="BS178" t="s">
        <v>3350</v>
      </c>
      <c r="BT178" t="str">
        <f>HYPERLINK("https%3A%2F%2Fwww.webofscience.com%2Fwos%2Fwoscc%2Ffull-record%2FWOS:000407746600021","View Full Record in Web of Science")</f>
        <v>View Full Record in Web of Science</v>
      </c>
    </row>
    <row r="179" spans="1:72" x14ac:dyDescent="0.2">
      <c r="A179" t="s">
        <v>46</v>
      </c>
      <c r="B179" t="s">
        <v>3351</v>
      </c>
      <c r="C179" t="s">
        <v>16</v>
      </c>
      <c r="D179" t="s">
        <v>16</v>
      </c>
      <c r="E179" t="s">
        <v>16</v>
      </c>
      <c r="F179" t="s">
        <v>3352</v>
      </c>
      <c r="G179" t="s">
        <v>16</v>
      </c>
      <c r="H179" t="s">
        <v>16</v>
      </c>
      <c r="I179" t="s">
        <v>3353</v>
      </c>
      <c r="J179" t="s">
        <v>2718</v>
      </c>
      <c r="K179" t="s">
        <v>16</v>
      </c>
      <c r="L179" t="s">
        <v>16</v>
      </c>
      <c r="M179" t="s">
        <v>22</v>
      </c>
      <c r="N179" t="s">
        <v>51</v>
      </c>
      <c r="O179" t="s">
        <v>16</v>
      </c>
      <c r="P179" t="s">
        <v>16</v>
      </c>
      <c r="Q179" t="s">
        <v>16</v>
      </c>
      <c r="R179" t="s">
        <v>16</v>
      </c>
      <c r="S179" t="s">
        <v>16</v>
      </c>
      <c r="T179" t="s">
        <v>16</v>
      </c>
      <c r="U179" t="s">
        <v>3354</v>
      </c>
      <c r="V179" t="s">
        <v>3355</v>
      </c>
      <c r="W179" t="s">
        <v>3356</v>
      </c>
      <c r="X179" t="s">
        <v>3357</v>
      </c>
      <c r="Y179" t="s">
        <v>3358</v>
      </c>
      <c r="Z179" t="s">
        <v>3359</v>
      </c>
      <c r="AA179" t="s">
        <v>3360</v>
      </c>
      <c r="AB179" t="s">
        <v>3361</v>
      </c>
      <c r="AC179" t="s">
        <v>3362</v>
      </c>
      <c r="AD179" t="s">
        <v>3363</v>
      </c>
      <c r="AE179" t="s">
        <v>3364</v>
      </c>
      <c r="AF179" t="s">
        <v>16</v>
      </c>
      <c r="AG179">
        <v>52</v>
      </c>
      <c r="AH179">
        <v>19</v>
      </c>
      <c r="AI179">
        <v>21</v>
      </c>
      <c r="AJ179">
        <v>32</v>
      </c>
      <c r="AK179">
        <v>83</v>
      </c>
      <c r="AL179" t="s">
        <v>2730</v>
      </c>
      <c r="AM179" t="s">
        <v>2731</v>
      </c>
      <c r="AN179" t="s">
        <v>2732</v>
      </c>
      <c r="AO179" t="s">
        <v>2733</v>
      </c>
      <c r="AP179" t="s">
        <v>16</v>
      </c>
      <c r="AQ179" t="s">
        <v>16</v>
      </c>
      <c r="AR179" t="s">
        <v>2718</v>
      </c>
      <c r="AS179" t="s">
        <v>2734</v>
      </c>
      <c r="AT179" t="s">
        <v>16</v>
      </c>
      <c r="AU179">
        <v>2023</v>
      </c>
      <c r="AV179">
        <v>2023</v>
      </c>
      <c r="AW179" t="s">
        <v>16</v>
      </c>
      <c r="AX179" t="s">
        <v>16</v>
      </c>
      <c r="AY179" t="s">
        <v>16</v>
      </c>
      <c r="AZ179" t="s">
        <v>16</v>
      </c>
      <c r="BA179" t="s">
        <v>16</v>
      </c>
      <c r="BB179">
        <v>1</v>
      </c>
      <c r="BC179">
        <v>11</v>
      </c>
      <c r="BD179" t="s">
        <v>16</v>
      </c>
      <c r="BE179" t="s">
        <v>3365</v>
      </c>
      <c r="BF179" t="str">
        <f>HYPERLINK("http://dx.doi.org/10.34133/plantphenomics.0043","http://dx.doi.org/10.34133/plantphenomics.0043")</f>
        <v>http://dx.doi.org/10.34133/plantphenomics.0043</v>
      </c>
      <c r="BG179" t="s">
        <v>16</v>
      </c>
      <c r="BH179" t="s">
        <v>16</v>
      </c>
      <c r="BI179">
        <v>11</v>
      </c>
      <c r="BJ179" t="s">
        <v>296</v>
      </c>
      <c r="BK179" t="s">
        <v>73</v>
      </c>
      <c r="BL179" t="s">
        <v>2737</v>
      </c>
      <c r="BM179" t="s">
        <v>3366</v>
      </c>
      <c r="BN179">
        <v>37223316</v>
      </c>
      <c r="BO179" t="s">
        <v>216</v>
      </c>
      <c r="BP179" t="s">
        <v>16</v>
      </c>
      <c r="BQ179" t="s">
        <v>16</v>
      </c>
      <c r="BR179" t="s">
        <v>44</v>
      </c>
      <c r="BS179" t="s">
        <v>3367</v>
      </c>
      <c r="BT179" t="str">
        <f>HYPERLINK("https%3A%2F%2Fwww.webofscience.com%2Fwos%2Fwoscc%2Ffull-record%2FWOS:001007465400001","View Full Record in Web of Science")</f>
        <v>View Full Record in Web of Science</v>
      </c>
    </row>
    <row r="180" spans="1:72" x14ac:dyDescent="0.2">
      <c r="A180" t="s">
        <v>46</v>
      </c>
      <c r="B180" t="s">
        <v>3368</v>
      </c>
      <c r="C180" t="s">
        <v>16</v>
      </c>
      <c r="D180" t="s">
        <v>16</v>
      </c>
      <c r="E180" t="s">
        <v>16</v>
      </c>
      <c r="F180" t="s">
        <v>3369</v>
      </c>
      <c r="G180" t="s">
        <v>16</v>
      </c>
      <c r="H180" t="s">
        <v>16</v>
      </c>
      <c r="I180" t="s">
        <v>3370</v>
      </c>
      <c r="J180" t="s">
        <v>3371</v>
      </c>
      <c r="K180" t="s">
        <v>16</v>
      </c>
      <c r="L180" t="s">
        <v>16</v>
      </c>
      <c r="M180" t="s">
        <v>22</v>
      </c>
      <c r="N180" t="s">
        <v>51</v>
      </c>
      <c r="O180" t="s">
        <v>16</v>
      </c>
      <c r="P180" t="s">
        <v>16</v>
      </c>
      <c r="Q180" t="s">
        <v>16</v>
      </c>
      <c r="R180" t="s">
        <v>16</v>
      </c>
      <c r="S180" t="s">
        <v>16</v>
      </c>
      <c r="T180" t="s">
        <v>3372</v>
      </c>
      <c r="U180" t="s">
        <v>3373</v>
      </c>
      <c r="V180" t="s">
        <v>3374</v>
      </c>
      <c r="W180" t="s">
        <v>3375</v>
      </c>
      <c r="X180" t="s">
        <v>3376</v>
      </c>
      <c r="Y180" t="s">
        <v>3377</v>
      </c>
      <c r="Z180" t="s">
        <v>3378</v>
      </c>
      <c r="AA180" t="s">
        <v>16</v>
      </c>
      <c r="AB180" t="s">
        <v>16</v>
      </c>
      <c r="AC180" t="s">
        <v>3379</v>
      </c>
      <c r="AD180" t="s">
        <v>3380</v>
      </c>
      <c r="AE180" t="s">
        <v>3381</v>
      </c>
      <c r="AF180" t="s">
        <v>16</v>
      </c>
      <c r="AG180">
        <v>33</v>
      </c>
      <c r="AH180">
        <v>19</v>
      </c>
      <c r="AI180">
        <v>21</v>
      </c>
      <c r="AJ180">
        <v>0</v>
      </c>
      <c r="AK180">
        <v>14</v>
      </c>
      <c r="AL180" t="s">
        <v>63</v>
      </c>
      <c r="AM180" t="s">
        <v>64</v>
      </c>
      <c r="AN180" t="s">
        <v>65</v>
      </c>
      <c r="AO180" t="s">
        <v>3382</v>
      </c>
      <c r="AP180" t="s">
        <v>3383</v>
      </c>
      <c r="AQ180" t="s">
        <v>16</v>
      </c>
      <c r="AR180" t="s">
        <v>3384</v>
      </c>
      <c r="AS180" t="s">
        <v>3385</v>
      </c>
      <c r="AT180" t="s">
        <v>318</v>
      </c>
      <c r="AU180">
        <v>2011</v>
      </c>
      <c r="AV180">
        <v>53</v>
      </c>
      <c r="AW180">
        <v>4</v>
      </c>
      <c r="AX180" t="s">
        <v>16</v>
      </c>
      <c r="AY180" t="s">
        <v>16</v>
      </c>
      <c r="AZ180" t="s">
        <v>16</v>
      </c>
      <c r="BA180" t="s">
        <v>16</v>
      </c>
      <c r="BB180">
        <v>461</v>
      </c>
      <c r="BC180">
        <v>480</v>
      </c>
      <c r="BD180" t="s">
        <v>16</v>
      </c>
      <c r="BE180" t="s">
        <v>3386</v>
      </c>
      <c r="BF180" t="str">
        <f>HYPERLINK("http://dx.doi.org/10.1111/j.1467-842X.2011.00642.x","http://dx.doi.org/10.1111/j.1467-842X.2011.00642.x")</f>
        <v>http://dx.doi.org/10.1111/j.1467-842X.2011.00642.x</v>
      </c>
      <c r="BG180" t="s">
        <v>16</v>
      </c>
      <c r="BH180" t="s">
        <v>16</v>
      </c>
      <c r="BI180">
        <v>20</v>
      </c>
      <c r="BJ180" t="s">
        <v>1313</v>
      </c>
      <c r="BK180" t="s">
        <v>73</v>
      </c>
      <c r="BL180" t="s">
        <v>168</v>
      </c>
      <c r="BM180" t="s">
        <v>3387</v>
      </c>
      <c r="BN180" t="s">
        <v>16</v>
      </c>
      <c r="BO180" t="s">
        <v>16</v>
      </c>
      <c r="BP180" t="s">
        <v>16</v>
      </c>
      <c r="BQ180" t="s">
        <v>16</v>
      </c>
      <c r="BR180" t="s">
        <v>44</v>
      </c>
      <c r="BS180" t="s">
        <v>3388</v>
      </c>
      <c r="BT180" t="str">
        <f>HYPERLINK("https%3A%2F%2Fwww.webofscience.com%2Fwos%2Fwoscc%2Ffull-record%2FWOS:000301918200004","View Full Record in Web of Science")</f>
        <v>View Full Record in Web of Science</v>
      </c>
    </row>
    <row r="181" spans="1:72" x14ac:dyDescent="0.2">
      <c r="A181" t="s">
        <v>46</v>
      </c>
      <c r="B181" t="s">
        <v>3389</v>
      </c>
      <c r="C181" t="s">
        <v>16</v>
      </c>
      <c r="D181" t="s">
        <v>16</v>
      </c>
      <c r="E181" t="s">
        <v>16</v>
      </c>
      <c r="F181" t="s">
        <v>3390</v>
      </c>
      <c r="G181" t="s">
        <v>16</v>
      </c>
      <c r="H181" t="s">
        <v>16</v>
      </c>
      <c r="I181" t="s">
        <v>3391</v>
      </c>
      <c r="J181" t="s">
        <v>3392</v>
      </c>
      <c r="K181" t="s">
        <v>16</v>
      </c>
      <c r="L181" t="s">
        <v>16</v>
      </c>
      <c r="M181" t="s">
        <v>22</v>
      </c>
      <c r="N181" t="s">
        <v>51</v>
      </c>
      <c r="O181" t="s">
        <v>16</v>
      </c>
      <c r="P181" t="s">
        <v>16</v>
      </c>
      <c r="Q181" t="s">
        <v>16</v>
      </c>
      <c r="R181" t="s">
        <v>16</v>
      </c>
      <c r="S181" t="s">
        <v>16</v>
      </c>
      <c r="T181" t="s">
        <v>3393</v>
      </c>
      <c r="U181" t="s">
        <v>3394</v>
      </c>
      <c r="V181" t="s">
        <v>3395</v>
      </c>
      <c r="W181" t="s">
        <v>3396</v>
      </c>
      <c r="X181" t="s">
        <v>3397</v>
      </c>
      <c r="Y181" t="s">
        <v>3398</v>
      </c>
      <c r="Z181" t="s">
        <v>3399</v>
      </c>
      <c r="AA181" t="s">
        <v>3400</v>
      </c>
      <c r="AB181" t="s">
        <v>16</v>
      </c>
      <c r="AC181" t="s">
        <v>3401</v>
      </c>
      <c r="AD181" t="s">
        <v>3402</v>
      </c>
      <c r="AE181" t="s">
        <v>3403</v>
      </c>
      <c r="AF181" t="s">
        <v>16</v>
      </c>
      <c r="AG181">
        <v>38</v>
      </c>
      <c r="AH181">
        <v>5</v>
      </c>
      <c r="AI181">
        <v>6</v>
      </c>
      <c r="AJ181">
        <v>0</v>
      </c>
      <c r="AK181">
        <v>12</v>
      </c>
      <c r="AL181" t="s">
        <v>3404</v>
      </c>
      <c r="AM181" t="s">
        <v>3405</v>
      </c>
      <c r="AN181" t="s">
        <v>3406</v>
      </c>
      <c r="AO181" t="s">
        <v>16</v>
      </c>
      <c r="AP181" t="s">
        <v>3407</v>
      </c>
      <c r="AQ181" t="s">
        <v>16</v>
      </c>
      <c r="AR181" t="s">
        <v>3408</v>
      </c>
      <c r="AS181" t="s">
        <v>3409</v>
      </c>
      <c r="AT181" t="s">
        <v>16</v>
      </c>
      <c r="AU181">
        <v>2015</v>
      </c>
      <c r="AV181">
        <v>14</v>
      </c>
      <c r="AW181">
        <v>4</v>
      </c>
      <c r="AX181" t="s">
        <v>16</v>
      </c>
      <c r="AY181" t="s">
        <v>16</v>
      </c>
      <c r="AZ181" t="s">
        <v>16</v>
      </c>
      <c r="BA181" t="s">
        <v>16</v>
      </c>
      <c r="BB181">
        <v>18471</v>
      </c>
      <c r="BC181">
        <v>18484</v>
      </c>
      <c r="BD181" t="s">
        <v>16</v>
      </c>
      <c r="BE181" t="s">
        <v>3410</v>
      </c>
      <c r="BF181" t="str">
        <f>HYPERLINK("http://dx.doi.org/10.4238/2015.December.23.35","http://dx.doi.org/10.4238/2015.December.23.35")</f>
        <v>http://dx.doi.org/10.4238/2015.December.23.35</v>
      </c>
      <c r="BG181" t="s">
        <v>16</v>
      </c>
      <c r="BH181" t="s">
        <v>16</v>
      </c>
      <c r="BI181">
        <v>14</v>
      </c>
      <c r="BJ181" t="s">
        <v>296</v>
      </c>
      <c r="BK181" t="s">
        <v>73</v>
      </c>
      <c r="BL181" t="s">
        <v>1076</v>
      </c>
      <c r="BM181" t="s">
        <v>3411</v>
      </c>
      <c r="BN181">
        <v>26782495</v>
      </c>
      <c r="BO181" t="s">
        <v>666</v>
      </c>
      <c r="BP181" t="s">
        <v>16</v>
      </c>
      <c r="BQ181" t="s">
        <v>16</v>
      </c>
      <c r="BR181" t="s">
        <v>44</v>
      </c>
      <c r="BS181" t="s">
        <v>3412</v>
      </c>
      <c r="BT181" t="str">
        <f>HYPERLINK("https%3A%2F%2Fwww.webofscience.com%2Fwos%2Fwoscc%2Ffull-record%2FWOS:000371587400123","View Full Record in Web of Science")</f>
        <v>View Full Record in Web of Science</v>
      </c>
    </row>
    <row r="182" spans="1:72" x14ac:dyDescent="0.2">
      <c r="A182" t="s">
        <v>46</v>
      </c>
      <c r="B182" t="s">
        <v>3413</v>
      </c>
      <c r="C182" t="s">
        <v>16</v>
      </c>
      <c r="D182" t="s">
        <v>16</v>
      </c>
      <c r="E182" t="s">
        <v>16</v>
      </c>
      <c r="F182" t="s">
        <v>3414</v>
      </c>
      <c r="G182" t="s">
        <v>16</v>
      </c>
      <c r="H182" t="s">
        <v>16</v>
      </c>
      <c r="I182" t="s">
        <v>3415</v>
      </c>
      <c r="J182" t="s">
        <v>3188</v>
      </c>
      <c r="K182" t="s">
        <v>16</v>
      </c>
      <c r="L182" t="s">
        <v>16</v>
      </c>
      <c r="M182" t="s">
        <v>22</v>
      </c>
      <c r="N182" t="s">
        <v>118</v>
      </c>
      <c r="O182" t="s">
        <v>16</v>
      </c>
      <c r="P182" t="s">
        <v>16</v>
      </c>
      <c r="Q182" t="s">
        <v>16</v>
      </c>
      <c r="R182" t="s">
        <v>16</v>
      </c>
      <c r="S182" t="s">
        <v>16</v>
      </c>
      <c r="T182" t="s">
        <v>16</v>
      </c>
      <c r="U182" t="s">
        <v>3416</v>
      </c>
      <c r="V182" t="s">
        <v>3417</v>
      </c>
      <c r="W182" t="s">
        <v>3418</v>
      </c>
      <c r="X182" t="s">
        <v>3419</v>
      </c>
      <c r="Y182" t="s">
        <v>3420</v>
      </c>
      <c r="Z182" t="s">
        <v>3421</v>
      </c>
      <c r="AA182" t="s">
        <v>16</v>
      </c>
      <c r="AB182" t="s">
        <v>3422</v>
      </c>
      <c r="AC182" t="s">
        <v>3423</v>
      </c>
      <c r="AD182" t="s">
        <v>3424</v>
      </c>
      <c r="AE182" t="s">
        <v>3425</v>
      </c>
      <c r="AF182" t="s">
        <v>16</v>
      </c>
      <c r="AG182">
        <v>119</v>
      </c>
      <c r="AH182">
        <v>125</v>
      </c>
      <c r="AI182">
        <v>137</v>
      </c>
      <c r="AJ182">
        <v>1</v>
      </c>
      <c r="AK182">
        <v>30</v>
      </c>
      <c r="AL182" t="s">
        <v>745</v>
      </c>
      <c r="AM182" t="s">
        <v>746</v>
      </c>
      <c r="AN182" t="s">
        <v>747</v>
      </c>
      <c r="AO182" t="s">
        <v>3202</v>
      </c>
      <c r="AP182" t="s">
        <v>3203</v>
      </c>
      <c r="AQ182" t="s">
        <v>16</v>
      </c>
      <c r="AR182" t="s">
        <v>3204</v>
      </c>
      <c r="AS182" t="s">
        <v>3205</v>
      </c>
      <c r="AT182" t="s">
        <v>70</v>
      </c>
      <c r="AU182">
        <v>2009</v>
      </c>
      <c r="AV182">
        <v>149</v>
      </c>
      <c r="AW182">
        <v>1</v>
      </c>
      <c r="AX182" t="s">
        <v>16</v>
      </c>
      <c r="AY182" t="s">
        <v>16</v>
      </c>
      <c r="AZ182" t="s">
        <v>16</v>
      </c>
      <c r="BA182" t="s">
        <v>16</v>
      </c>
      <c r="BB182">
        <v>585</v>
      </c>
      <c r="BC182">
        <v>598</v>
      </c>
      <c r="BD182" t="s">
        <v>16</v>
      </c>
      <c r="BE182" t="s">
        <v>3426</v>
      </c>
      <c r="BF182" t="str">
        <f>HYPERLINK("http://dx.doi.org/10.1104/pp.108.129635","http://dx.doi.org/10.1104/pp.108.129635")</f>
        <v>http://dx.doi.org/10.1104/pp.108.129635</v>
      </c>
      <c r="BG182" t="s">
        <v>16</v>
      </c>
      <c r="BH182" t="s">
        <v>16</v>
      </c>
      <c r="BI182">
        <v>14</v>
      </c>
      <c r="BJ182" t="s">
        <v>214</v>
      </c>
      <c r="BK182" t="s">
        <v>73</v>
      </c>
      <c r="BL182" t="s">
        <v>214</v>
      </c>
      <c r="BM182" t="s">
        <v>3427</v>
      </c>
      <c r="BN182">
        <v>18987214</v>
      </c>
      <c r="BO182" t="s">
        <v>2278</v>
      </c>
      <c r="BP182" t="s">
        <v>16</v>
      </c>
      <c r="BQ182" t="s">
        <v>16</v>
      </c>
      <c r="BR182" t="s">
        <v>44</v>
      </c>
      <c r="BS182" t="s">
        <v>3428</v>
      </c>
      <c r="BT182" t="str">
        <f>HYPERLINK("https%3A%2F%2Fwww.webofscience.com%2Fwos%2Fwoscc%2Ffull-record%2FWOS:000262261500057","View Full Record in Web of Science")</f>
        <v>View Full Record in Web of Science</v>
      </c>
    </row>
    <row r="183" spans="1:72" x14ac:dyDescent="0.2">
      <c r="A183" t="s">
        <v>46</v>
      </c>
      <c r="B183" t="s">
        <v>3429</v>
      </c>
      <c r="C183" t="s">
        <v>16</v>
      </c>
      <c r="D183" t="s">
        <v>16</v>
      </c>
      <c r="E183" t="s">
        <v>16</v>
      </c>
      <c r="F183" t="s">
        <v>3430</v>
      </c>
      <c r="G183" t="s">
        <v>16</v>
      </c>
      <c r="H183" t="s">
        <v>16</v>
      </c>
      <c r="I183" t="s">
        <v>3431</v>
      </c>
      <c r="J183" t="s">
        <v>3432</v>
      </c>
      <c r="K183" t="s">
        <v>16</v>
      </c>
      <c r="L183" t="s">
        <v>16</v>
      </c>
      <c r="M183" t="s">
        <v>22</v>
      </c>
      <c r="N183" t="s">
        <v>51</v>
      </c>
      <c r="O183" t="s">
        <v>16</v>
      </c>
      <c r="P183" t="s">
        <v>16</v>
      </c>
      <c r="Q183" t="s">
        <v>16</v>
      </c>
      <c r="R183" t="s">
        <v>16</v>
      </c>
      <c r="S183" t="s">
        <v>16</v>
      </c>
      <c r="T183" t="s">
        <v>3433</v>
      </c>
      <c r="U183" t="s">
        <v>3434</v>
      </c>
      <c r="V183" t="s">
        <v>3435</v>
      </c>
      <c r="W183" t="s">
        <v>3436</v>
      </c>
      <c r="X183" t="s">
        <v>3437</v>
      </c>
      <c r="Y183" t="s">
        <v>3438</v>
      </c>
      <c r="Z183" t="s">
        <v>3439</v>
      </c>
      <c r="AA183" t="s">
        <v>16</v>
      </c>
      <c r="AB183" t="s">
        <v>3440</v>
      </c>
      <c r="AC183" t="s">
        <v>3441</v>
      </c>
      <c r="AD183" t="s">
        <v>3442</v>
      </c>
      <c r="AE183" t="s">
        <v>3443</v>
      </c>
      <c r="AF183" t="s">
        <v>16</v>
      </c>
      <c r="AG183">
        <v>96</v>
      </c>
      <c r="AH183">
        <v>0</v>
      </c>
      <c r="AI183">
        <v>0</v>
      </c>
      <c r="AJ183">
        <v>3</v>
      </c>
      <c r="AK183">
        <v>5</v>
      </c>
      <c r="AL183" t="s">
        <v>3444</v>
      </c>
      <c r="AM183" t="s">
        <v>3445</v>
      </c>
      <c r="AN183" t="s">
        <v>3446</v>
      </c>
      <c r="AO183" t="s">
        <v>3447</v>
      </c>
      <c r="AP183" t="s">
        <v>3448</v>
      </c>
      <c r="AQ183" t="s">
        <v>16</v>
      </c>
      <c r="AR183" t="s">
        <v>3432</v>
      </c>
      <c r="AS183" t="s">
        <v>3449</v>
      </c>
      <c r="AT183" t="s">
        <v>1138</v>
      </c>
      <c r="AU183">
        <v>2024</v>
      </c>
      <c r="AV183">
        <v>67</v>
      </c>
      <c r="AW183">
        <v>7</v>
      </c>
      <c r="AX183" t="s">
        <v>16</v>
      </c>
      <c r="AY183" t="s">
        <v>16</v>
      </c>
      <c r="AZ183" t="s">
        <v>16</v>
      </c>
      <c r="BA183" t="s">
        <v>16</v>
      </c>
      <c r="BB183">
        <v>210</v>
      </c>
      <c r="BC183">
        <v>222</v>
      </c>
      <c r="BD183" t="s">
        <v>16</v>
      </c>
      <c r="BE183" t="s">
        <v>3450</v>
      </c>
      <c r="BF183" t="str">
        <f>HYPERLINK("http://dx.doi.org/10.1139/gen-2023-0126","http://dx.doi.org/10.1139/gen-2023-0126")</f>
        <v>http://dx.doi.org/10.1139/gen-2023-0126</v>
      </c>
      <c r="BG183" t="s">
        <v>16</v>
      </c>
      <c r="BH183" t="s">
        <v>1920</v>
      </c>
      <c r="BI183">
        <v>13</v>
      </c>
      <c r="BJ183" t="s">
        <v>296</v>
      </c>
      <c r="BK183" t="s">
        <v>73</v>
      </c>
      <c r="BL183" t="s">
        <v>509</v>
      </c>
      <c r="BM183" t="s">
        <v>3451</v>
      </c>
      <c r="BN183">
        <v>38708850</v>
      </c>
      <c r="BO183" t="s">
        <v>16</v>
      </c>
      <c r="BP183" t="s">
        <v>16</v>
      </c>
      <c r="BQ183" t="s">
        <v>16</v>
      </c>
      <c r="BR183" t="s">
        <v>44</v>
      </c>
      <c r="BS183" t="s">
        <v>3452</v>
      </c>
      <c r="BT183" t="str">
        <f>HYPERLINK("https%3A%2F%2Fwww.webofscience.com%2Fwos%2Fwoscc%2Ffull-record%2FWOS:001222254600001","View Full Record in Web of Science")</f>
        <v>View Full Record in Web of Science</v>
      </c>
    </row>
    <row r="184" spans="1:72" x14ac:dyDescent="0.2">
      <c r="A184" t="s">
        <v>46</v>
      </c>
      <c r="B184" t="s">
        <v>3453</v>
      </c>
      <c r="C184" t="s">
        <v>16</v>
      </c>
      <c r="D184" t="s">
        <v>16</v>
      </c>
      <c r="E184" t="s">
        <v>16</v>
      </c>
      <c r="F184" t="s">
        <v>3454</v>
      </c>
      <c r="G184" t="s">
        <v>16</v>
      </c>
      <c r="H184" t="s">
        <v>16</v>
      </c>
      <c r="I184" t="s">
        <v>3455</v>
      </c>
      <c r="J184" t="s">
        <v>3456</v>
      </c>
      <c r="K184" t="s">
        <v>16</v>
      </c>
      <c r="L184" t="s">
        <v>16</v>
      </c>
      <c r="M184" t="s">
        <v>22</v>
      </c>
      <c r="N184" t="s">
        <v>51</v>
      </c>
      <c r="O184" t="s">
        <v>16</v>
      </c>
      <c r="P184" t="s">
        <v>16</v>
      </c>
      <c r="Q184" t="s">
        <v>16</v>
      </c>
      <c r="R184" t="s">
        <v>16</v>
      </c>
      <c r="S184" t="s">
        <v>16</v>
      </c>
      <c r="T184" t="s">
        <v>3457</v>
      </c>
      <c r="U184" t="s">
        <v>3458</v>
      </c>
      <c r="V184" t="s">
        <v>3459</v>
      </c>
      <c r="W184" t="s">
        <v>3460</v>
      </c>
      <c r="X184" t="s">
        <v>613</v>
      </c>
      <c r="Y184" t="s">
        <v>3461</v>
      </c>
      <c r="Z184" t="s">
        <v>3462</v>
      </c>
      <c r="AA184" t="s">
        <v>3463</v>
      </c>
      <c r="AB184" t="s">
        <v>3464</v>
      </c>
      <c r="AC184" t="s">
        <v>3465</v>
      </c>
      <c r="AD184" t="s">
        <v>3466</v>
      </c>
      <c r="AE184" t="s">
        <v>3467</v>
      </c>
      <c r="AF184" t="s">
        <v>16</v>
      </c>
      <c r="AG184">
        <v>40</v>
      </c>
      <c r="AH184">
        <v>19</v>
      </c>
      <c r="AI184">
        <v>19</v>
      </c>
      <c r="AJ184">
        <v>0</v>
      </c>
      <c r="AK184">
        <v>9</v>
      </c>
      <c r="AL184" t="s">
        <v>128</v>
      </c>
      <c r="AM184" t="s">
        <v>225</v>
      </c>
      <c r="AN184" t="s">
        <v>357</v>
      </c>
      <c r="AO184" t="s">
        <v>3468</v>
      </c>
      <c r="AP184" t="s">
        <v>3469</v>
      </c>
      <c r="AQ184" t="s">
        <v>16</v>
      </c>
      <c r="AR184" t="s">
        <v>3456</v>
      </c>
      <c r="AS184" t="s">
        <v>3470</v>
      </c>
      <c r="AT184" t="s">
        <v>812</v>
      </c>
      <c r="AU184">
        <v>2013</v>
      </c>
      <c r="AV184">
        <v>141</v>
      </c>
      <c r="AW184" t="s">
        <v>3471</v>
      </c>
      <c r="AX184" t="s">
        <v>16</v>
      </c>
      <c r="AY184" t="s">
        <v>16</v>
      </c>
      <c r="AZ184" t="s">
        <v>16</v>
      </c>
      <c r="BA184" t="s">
        <v>16</v>
      </c>
      <c r="BB184">
        <v>389</v>
      </c>
      <c r="BC184">
        <v>399</v>
      </c>
      <c r="BD184" t="s">
        <v>16</v>
      </c>
      <c r="BE184" t="s">
        <v>3472</v>
      </c>
      <c r="BF184" t="str">
        <f>HYPERLINK("http://dx.doi.org/10.1007/s10709-013-9738-1","http://dx.doi.org/10.1007/s10709-013-9738-1")</f>
        <v>http://dx.doi.org/10.1007/s10709-013-9738-1</v>
      </c>
      <c r="BG184" t="s">
        <v>16</v>
      </c>
      <c r="BH184" t="s">
        <v>16</v>
      </c>
      <c r="BI184">
        <v>11</v>
      </c>
      <c r="BJ184" t="s">
        <v>339</v>
      </c>
      <c r="BK184" t="s">
        <v>73</v>
      </c>
      <c r="BL184" t="s">
        <v>339</v>
      </c>
      <c r="BM184" t="s">
        <v>3473</v>
      </c>
      <c r="BN184">
        <v>24057807</v>
      </c>
      <c r="BO184" t="s">
        <v>16</v>
      </c>
      <c r="BP184" t="s">
        <v>16</v>
      </c>
      <c r="BQ184" t="s">
        <v>16</v>
      </c>
      <c r="BR184" t="s">
        <v>44</v>
      </c>
      <c r="BS184" t="s">
        <v>3474</v>
      </c>
      <c r="BT184" t="str">
        <f>HYPERLINK("https%3A%2F%2Fwww.webofscience.com%2Fwos%2Fwoscc%2Ffull-record%2FWOS:000325780600013","View Full Record in Web of Science")</f>
        <v>View Full Record in Web of Science</v>
      </c>
    </row>
    <row r="185" spans="1:72" x14ac:dyDescent="0.2">
      <c r="A185" t="s">
        <v>46</v>
      </c>
      <c r="B185" t="s">
        <v>3475</v>
      </c>
      <c r="C185" t="s">
        <v>16</v>
      </c>
      <c r="D185" t="s">
        <v>16</v>
      </c>
      <c r="E185" t="s">
        <v>16</v>
      </c>
      <c r="F185" t="s">
        <v>3476</v>
      </c>
      <c r="G185" t="s">
        <v>16</v>
      </c>
      <c r="H185" t="s">
        <v>16</v>
      </c>
      <c r="I185" t="s">
        <v>3477</v>
      </c>
      <c r="J185" t="s">
        <v>82</v>
      </c>
      <c r="K185" t="s">
        <v>16</v>
      </c>
      <c r="L185" t="s">
        <v>16</v>
      </c>
      <c r="M185" t="s">
        <v>22</v>
      </c>
      <c r="N185" t="s">
        <v>51</v>
      </c>
      <c r="O185" t="s">
        <v>16</v>
      </c>
      <c r="P185" t="s">
        <v>16</v>
      </c>
      <c r="Q185" t="s">
        <v>16</v>
      </c>
      <c r="R185" t="s">
        <v>16</v>
      </c>
      <c r="S185" t="s">
        <v>16</v>
      </c>
      <c r="T185" t="s">
        <v>3478</v>
      </c>
      <c r="U185" t="s">
        <v>16</v>
      </c>
      <c r="V185" t="s">
        <v>3479</v>
      </c>
      <c r="W185" t="s">
        <v>3480</v>
      </c>
      <c r="X185" t="s">
        <v>103</v>
      </c>
      <c r="Y185" t="s">
        <v>3481</v>
      </c>
      <c r="Z185" t="s">
        <v>2503</v>
      </c>
      <c r="AA185" t="s">
        <v>3482</v>
      </c>
      <c r="AB185" t="s">
        <v>3483</v>
      </c>
      <c r="AC185" t="s">
        <v>16</v>
      </c>
      <c r="AD185" t="s">
        <v>16</v>
      </c>
      <c r="AE185" t="s">
        <v>16</v>
      </c>
      <c r="AF185" t="s">
        <v>16</v>
      </c>
      <c r="AG185">
        <v>8</v>
      </c>
      <c r="AH185">
        <v>4</v>
      </c>
      <c r="AI185">
        <v>4</v>
      </c>
      <c r="AJ185">
        <v>1</v>
      </c>
      <c r="AK185">
        <v>1</v>
      </c>
      <c r="AL185" t="s">
        <v>2905</v>
      </c>
      <c r="AM185" t="s">
        <v>64</v>
      </c>
      <c r="AN185" t="s">
        <v>65</v>
      </c>
      <c r="AO185" t="s">
        <v>316</v>
      </c>
      <c r="AP185" t="s">
        <v>2547</v>
      </c>
      <c r="AQ185" t="s">
        <v>16</v>
      </c>
      <c r="AR185" t="s">
        <v>82</v>
      </c>
      <c r="AS185" t="s">
        <v>317</v>
      </c>
      <c r="AT185" t="s">
        <v>1233</v>
      </c>
      <c r="AU185">
        <v>2009</v>
      </c>
      <c r="AV185">
        <v>128</v>
      </c>
      <c r="AW185">
        <v>2</v>
      </c>
      <c r="AX185" t="s">
        <v>16</v>
      </c>
      <c r="AY185" t="s">
        <v>16</v>
      </c>
      <c r="AZ185" t="s">
        <v>16</v>
      </c>
      <c r="BA185" t="s">
        <v>16</v>
      </c>
      <c r="BB185">
        <v>213</v>
      </c>
      <c r="BC185">
        <v>216</v>
      </c>
      <c r="BD185" t="s">
        <v>16</v>
      </c>
      <c r="BE185" t="s">
        <v>3484</v>
      </c>
      <c r="BF185" t="str">
        <f>HYPERLINK("http://dx.doi.org/10.1111/j.1439-0523.2008.01570.x","http://dx.doi.org/10.1111/j.1439-0523.2008.01570.x")</f>
        <v>http://dx.doi.org/10.1111/j.1439-0523.2008.01570.x</v>
      </c>
      <c r="BG185" t="s">
        <v>16</v>
      </c>
      <c r="BH185" t="s">
        <v>16</v>
      </c>
      <c r="BI185">
        <v>4</v>
      </c>
      <c r="BJ185" t="s">
        <v>296</v>
      </c>
      <c r="BK185" t="s">
        <v>73</v>
      </c>
      <c r="BL185" t="s">
        <v>320</v>
      </c>
      <c r="BM185" t="s">
        <v>3485</v>
      </c>
      <c r="BN185" t="s">
        <v>16</v>
      </c>
      <c r="BO185" t="s">
        <v>16</v>
      </c>
      <c r="BP185" t="s">
        <v>16</v>
      </c>
      <c r="BQ185" t="s">
        <v>16</v>
      </c>
      <c r="BR185" t="s">
        <v>44</v>
      </c>
      <c r="BS185" t="s">
        <v>3486</v>
      </c>
      <c r="BT185" t="str">
        <f>HYPERLINK("https%3A%2F%2Fwww.webofscience.com%2Fwos%2Fwoscc%2Ffull-record%2FWOS:000209849200001","View Full Record in Web of Science")</f>
        <v>View Full Record in Web of Science</v>
      </c>
    </row>
    <row r="186" spans="1:72" x14ac:dyDescent="0.2">
      <c r="A186" t="s">
        <v>46</v>
      </c>
      <c r="B186" t="s">
        <v>3487</v>
      </c>
      <c r="C186" t="s">
        <v>16</v>
      </c>
      <c r="D186" t="s">
        <v>16</v>
      </c>
      <c r="E186" t="s">
        <v>16</v>
      </c>
      <c r="F186" t="s">
        <v>3488</v>
      </c>
      <c r="G186" t="s">
        <v>16</v>
      </c>
      <c r="H186" t="s">
        <v>16</v>
      </c>
      <c r="I186" t="s">
        <v>3489</v>
      </c>
      <c r="J186" t="s">
        <v>557</v>
      </c>
      <c r="K186" t="s">
        <v>16</v>
      </c>
      <c r="L186" t="s">
        <v>16</v>
      </c>
      <c r="M186" t="s">
        <v>22</v>
      </c>
      <c r="N186" t="s">
        <v>51</v>
      </c>
      <c r="O186" t="s">
        <v>16</v>
      </c>
      <c r="P186" t="s">
        <v>16</v>
      </c>
      <c r="Q186" t="s">
        <v>16</v>
      </c>
      <c r="R186" t="s">
        <v>16</v>
      </c>
      <c r="S186" t="s">
        <v>16</v>
      </c>
      <c r="T186" t="s">
        <v>3490</v>
      </c>
      <c r="U186" t="s">
        <v>3491</v>
      </c>
      <c r="V186" t="s">
        <v>3492</v>
      </c>
      <c r="W186" t="s">
        <v>3493</v>
      </c>
      <c r="X186" t="s">
        <v>3494</v>
      </c>
      <c r="Y186" t="s">
        <v>3495</v>
      </c>
      <c r="Z186" t="s">
        <v>3496</v>
      </c>
      <c r="AA186" t="s">
        <v>3497</v>
      </c>
      <c r="AB186" t="s">
        <v>3498</v>
      </c>
      <c r="AC186" t="s">
        <v>16</v>
      </c>
      <c r="AD186" t="s">
        <v>16</v>
      </c>
      <c r="AE186" t="s">
        <v>16</v>
      </c>
      <c r="AF186" t="s">
        <v>16</v>
      </c>
      <c r="AG186">
        <v>83</v>
      </c>
      <c r="AH186">
        <v>7</v>
      </c>
      <c r="AI186">
        <v>9</v>
      </c>
      <c r="AJ186">
        <v>2</v>
      </c>
      <c r="AK186">
        <v>18</v>
      </c>
      <c r="AL186" t="s">
        <v>569</v>
      </c>
      <c r="AM186" t="s">
        <v>570</v>
      </c>
      <c r="AN186" t="s">
        <v>571</v>
      </c>
      <c r="AO186" t="s">
        <v>572</v>
      </c>
      <c r="AP186" t="s">
        <v>573</v>
      </c>
      <c r="AQ186" t="s">
        <v>16</v>
      </c>
      <c r="AR186" t="s">
        <v>574</v>
      </c>
      <c r="AS186" t="s">
        <v>575</v>
      </c>
      <c r="AT186" t="s">
        <v>576</v>
      </c>
      <c r="AU186">
        <v>2020</v>
      </c>
      <c r="AV186">
        <v>120</v>
      </c>
      <c r="AW186" t="s">
        <v>16</v>
      </c>
      <c r="AX186" t="s">
        <v>16</v>
      </c>
      <c r="AY186" t="s">
        <v>16</v>
      </c>
      <c r="AZ186" t="s">
        <v>16</v>
      </c>
      <c r="BA186" t="s">
        <v>16</v>
      </c>
      <c r="BB186" t="s">
        <v>16</v>
      </c>
      <c r="BC186" t="s">
        <v>16</v>
      </c>
      <c r="BD186">
        <v>126131</v>
      </c>
      <c r="BE186" t="s">
        <v>3499</v>
      </c>
      <c r="BF186" t="str">
        <f>HYPERLINK("http://dx.doi.org/10.1016/j.eja.2020.126131","http://dx.doi.org/10.1016/j.eja.2020.126131")</f>
        <v>http://dx.doi.org/10.1016/j.eja.2020.126131</v>
      </c>
      <c r="BG186" t="s">
        <v>16</v>
      </c>
      <c r="BH186" t="s">
        <v>16</v>
      </c>
      <c r="BI186">
        <v>10</v>
      </c>
      <c r="BJ186" t="s">
        <v>40</v>
      </c>
      <c r="BK186" t="s">
        <v>73</v>
      </c>
      <c r="BL186" t="s">
        <v>42</v>
      </c>
      <c r="BM186" t="s">
        <v>3500</v>
      </c>
      <c r="BN186" t="s">
        <v>16</v>
      </c>
      <c r="BO186" t="s">
        <v>1122</v>
      </c>
      <c r="BP186" t="s">
        <v>16</v>
      </c>
      <c r="BQ186" t="s">
        <v>16</v>
      </c>
      <c r="BR186" t="s">
        <v>44</v>
      </c>
      <c r="BS186" t="s">
        <v>3501</v>
      </c>
      <c r="BT186" t="str">
        <f>HYPERLINK("https%3A%2F%2Fwww.webofscience.com%2Fwos%2Fwoscc%2Ffull-record%2FWOS:000571535400010","View Full Record in Web of Science")</f>
        <v>View Full Record in Web of Science</v>
      </c>
    </row>
    <row r="187" spans="1:72" x14ac:dyDescent="0.2">
      <c r="A187" t="s">
        <v>46</v>
      </c>
      <c r="B187" t="s">
        <v>3502</v>
      </c>
      <c r="C187" t="s">
        <v>16</v>
      </c>
      <c r="D187" t="s">
        <v>16</v>
      </c>
      <c r="E187" t="s">
        <v>16</v>
      </c>
      <c r="F187" t="s">
        <v>3503</v>
      </c>
      <c r="G187" t="s">
        <v>16</v>
      </c>
      <c r="H187" t="s">
        <v>16</v>
      </c>
      <c r="I187" t="s">
        <v>3504</v>
      </c>
      <c r="J187" t="s">
        <v>1890</v>
      </c>
      <c r="K187" t="s">
        <v>16</v>
      </c>
      <c r="L187" t="s">
        <v>16</v>
      </c>
      <c r="M187" t="s">
        <v>22</v>
      </c>
      <c r="N187" t="s">
        <v>51</v>
      </c>
      <c r="O187" t="s">
        <v>16</v>
      </c>
      <c r="P187" t="s">
        <v>16</v>
      </c>
      <c r="Q187" t="s">
        <v>16</v>
      </c>
      <c r="R187" t="s">
        <v>16</v>
      </c>
      <c r="S187" t="s">
        <v>16</v>
      </c>
      <c r="T187" t="s">
        <v>3505</v>
      </c>
      <c r="U187" t="s">
        <v>3506</v>
      </c>
      <c r="V187" t="s">
        <v>3507</v>
      </c>
      <c r="W187" t="s">
        <v>3508</v>
      </c>
      <c r="X187" t="s">
        <v>3509</v>
      </c>
      <c r="Y187" t="s">
        <v>3510</v>
      </c>
      <c r="Z187" t="s">
        <v>3511</v>
      </c>
      <c r="AA187" t="s">
        <v>3512</v>
      </c>
      <c r="AB187" t="s">
        <v>3513</v>
      </c>
      <c r="AC187" t="s">
        <v>3514</v>
      </c>
      <c r="AD187" t="s">
        <v>3515</v>
      </c>
      <c r="AE187" t="s">
        <v>3516</v>
      </c>
      <c r="AF187" t="s">
        <v>16</v>
      </c>
      <c r="AG187">
        <v>64</v>
      </c>
      <c r="AH187">
        <v>16</v>
      </c>
      <c r="AI187">
        <v>17</v>
      </c>
      <c r="AJ187">
        <v>1</v>
      </c>
      <c r="AK187">
        <v>22</v>
      </c>
      <c r="AL187" t="s">
        <v>808</v>
      </c>
      <c r="AM187" t="s">
        <v>161</v>
      </c>
      <c r="AN187" t="s">
        <v>3517</v>
      </c>
      <c r="AO187" t="s">
        <v>16</v>
      </c>
      <c r="AP187" t="s">
        <v>1900</v>
      </c>
      <c r="AQ187" t="s">
        <v>16</v>
      </c>
      <c r="AR187" t="s">
        <v>1890</v>
      </c>
      <c r="AS187" t="s">
        <v>1901</v>
      </c>
      <c r="AT187" t="s">
        <v>1533</v>
      </c>
      <c r="AU187">
        <v>2022</v>
      </c>
      <c r="AV187">
        <v>12</v>
      </c>
      <c r="AW187">
        <v>2</v>
      </c>
      <c r="AX187" t="s">
        <v>16</v>
      </c>
      <c r="AY187" t="s">
        <v>16</v>
      </c>
      <c r="AZ187" t="s">
        <v>16</v>
      </c>
      <c r="BA187" t="s">
        <v>16</v>
      </c>
      <c r="BB187" t="s">
        <v>16</v>
      </c>
      <c r="BC187" t="s">
        <v>16</v>
      </c>
      <c r="BD187">
        <v>522</v>
      </c>
      <c r="BE187" t="s">
        <v>3518</v>
      </c>
      <c r="BF187" t="str">
        <f>HYPERLINK("http://dx.doi.org/10.3390/agronomy12020522","http://dx.doi.org/10.3390/agronomy12020522")</f>
        <v>http://dx.doi.org/10.3390/agronomy12020522</v>
      </c>
      <c r="BG187" t="s">
        <v>16</v>
      </c>
      <c r="BH187" t="s">
        <v>16</v>
      </c>
      <c r="BI187">
        <v>17</v>
      </c>
      <c r="BJ187" t="s">
        <v>92</v>
      </c>
      <c r="BK187" t="s">
        <v>73</v>
      </c>
      <c r="BL187" t="s">
        <v>94</v>
      </c>
      <c r="BM187" t="s">
        <v>3519</v>
      </c>
      <c r="BN187" t="s">
        <v>16</v>
      </c>
      <c r="BO187" t="s">
        <v>1517</v>
      </c>
      <c r="BP187" t="s">
        <v>16</v>
      </c>
      <c r="BQ187" t="s">
        <v>16</v>
      </c>
      <c r="BR187" t="s">
        <v>44</v>
      </c>
      <c r="BS187" t="s">
        <v>3520</v>
      </c>
      <c r="BT187" t="str">
        <f>HYPERLINK("https%3A%2F%2Fwww.webofscience.com%2Fwos%2Fwoscc%2Ffull-record%2FWOS:000763931000001","View Full Record in Web of Science")</f>
        <v>View Full Record in Web of Science</v>
      </c>
    </row>
    <row r="188" spans="1:72" x14ac:dyDescent="0.2">
      <c r="A188" t="s">
        <v>46</v>
      </c>
      <c r="B188" t="s">
        <v>3521</v>
      </c>
      <c r="C188" t="s">
        <v>16</v>
      </c>
      <c r="D188" t="s">
        <v>16</v>
      </c>
      <c r="E188" t="s">
        <v>16</v>
      </c>
      <c r="F188" t="s">
        <v>3522</v>
      </c>
      <c r="G188" t="s">
        <v>16</v>
      </c>
      <c r="H188" t="s">
        <v>16</v>
      </c>
      <c r="I188" t="s">
        <v>3523</v>
      </c>
      <c r="J188" t="s">
        <v>197</v>
      </c>
      <c r="K188" t="s">
        <v>16</v>
      </c>
      <c r="L188" t="s">
        <v>16</v>
      </c>
      <c r="M188" t="s">
        <v>22</v>
      </c>
      <c r="N188" t="s">
        <v>51</v>
      </c>
      <c r="O188" t="s">
        <v>16</v>
      </c>
      <c r="P188" t="s">
        <v>16</v>
      </c>
      <c r="Q188" t="s">
        <v>16</v>
      </c>
      <c r="R188" t="s">
        <v>16</v>
      </c>
      <c r="S188" t="s">
        <v>16</v>
      </c>
      <c r="T188" t="s">
        <v>3524</v>
      </c>
      <c r="U188" t="s">
        <v>3525</v>
      </c>
      <c r="V188" t="s">
        <v>3526</v>
      </c>
      <c r="W188" t="s">
        <v>3527</v>
      </c>
      <c r="X188" t="s">
        <v>3528</v>
      </c>
      <c r="Y188" t="s">
        <v>3529</v>
      </c>
      <c r="Z188" t="s">
        <v>3041</v>
      </c>
      <c r="AA188" t="s">
        <v>16</v>
      </c>
      <c r="AB188" t="s">
        <v>3530</v>
      </c>
      <c r="AC188" t="s">
        <v>3531</v>
      </c>
      <c r="AD188" t="s">
        <v>3532</v>
      </c>
      <c r="AE188" t="s">
        <v>3533</v>
      </c>
      <c r="AF188" t="s">
        <v>16</v>
      </c>
      <c r="AG188">
        <v>58</v>
      </c>
      <c r="AH188">
        <v>2</v>
      </c>
      <c r="AI188">
        <v>2</v>
      </c>
      <c r="AJ188">
        <v>12</v>
      </c>
      <c r="AK188">
        <v>13</v>
      </c>
      <c r="AL188" t="s">
        <v>206</v>
      </c>
      <c r="AM188" t="s">
        <v>207</v>
      </c>
      <c r="AN188" t="s">
        <v>208</v>
      </c>
      <c r="AO188" t="s">
        <v>209</v>
      </c>
      <c r="AP188" t="s">
        <v>16</v>
      </c>
      <c r="AQ188" t="s">
        <v>16</v>
      </c>
      <c r="AR188" t="s">
        <v>210</v>
      </c>
      <c r="AS188" t="s">
        <v>211</v>
      </c>
      <c r="AT188" t="s">
        <v>3534</v>
      </c>
      <c r="AU188">
        <v>2024</v>
      </c>
      <c r="AV188">
        <v>15</v>
      </c>
      <c r="AW188" t="s">
        <v>16</v>
      </c>
      <c r="AX188" t="s">
        <v>16</v>
      </c>
      <c r="AY188" t="s">
        <v>16</v>
      </c>
      <c r="AZ188" t="s">
        <v>16</v>
      </c>
      <c r="BA188" t="s">
        <v>16</v>
      </c>
      <c r="BB188" t="s">
        <v>16</v>
      </c>
      <c r="BC188" t="s">
        <v>16</v>
      </c>
      <c r="BD188">
        <v>1361894</v>
      </c>
      <c r="BE188" t="s">
        <v>3535</v>
      </c>
      <c r="BF188" t="str">
        <f>HYPERLINK("http://dx.doi.org/10.3389/fpls.2024.1361894","http://dx.doi.org/10.3389/fpls.2024.1361894")</f>
        <v>http://dx.doi.org/10.3389/fpls.2024.1361894</v>
      </c>
      <c r="BG188" t="s">
        <v>16</v>
      </c>
      <c r="BH188" t="s">
        <v>16</v>
      </c>
      <c r="BI188">
        <v>13</v>
      </c>
      <c r="BJ188" t="s">
        <v>214</v>
      </c>
      <c r="BK188" t="s">
        <v>73</v>
      </c>
      <c r="BL188" t="s">
        <v>214</v>
      </c>
      <c r="BM188" t="s">
        <v>3536</v>
      </c>
      <c r="BN188">
        <v>38817943</v>
      </c>
      <c r="BO188" t="s">
        <v>2954</v>
      </c>
      <c r="BP188" t="s">
        <v>16</v>
      </c>
      <c r="BQ188" t="s">
        <v>16</v>
      </c>
      <c r="BR188" t="s">
        <v>44</v>
      </c>
      <c r="BS188" t="s">
        <v>3537</v>
      </c>
      <c r="BT188" t="str">
        <f>HYPERLINK("https%3A%2F%2Fwww.webofscience.com%2Fwos%2Fwoscc%2Ffull-record%2FWOS:001199773000001","View Full Record in Web of Science")</f>
        <v>View Full Record in Web of Science</v>
      </c>
    </row>
    <row r="189" spans="1:72" x14ac:dyDescent="0.2">
      <c r="A189" t="s">
        <v>46</v>
      </c>
      <c r="B189" t="s">
        <v>1237</v>
      </c>
      <c r="C189" t="s">
        <v>16</v>
      </c>
      <c r="D189" t="s">
        <v>16</v>
      </c>
      <c r="E189" t="s">
        <v>16</v>
      </c>
      <c r="F189" t="s">
        <v>1237</v>
      </c>
      <c r="G189" t="s">
        <v>16</v>
      </c>
      <c r="H189" t="s">
        <v>16</v>
      </c>
      <c r="I189" t="s">
        <v>3538</v>
      </c>
      <c r="J189" t="s">
        <v>3539</v>
      </c>
      <c r="K189" t="s">
        <v>16</v>
      </c>
      <c r="L189" t="s">
        <v>16</v>
      </c>
      <c r="M189" t="s">
        <v>22</v>
      </c>
      <c r="N189" t="s">
        <v>51</v>
      </c>
      <c r="O189" t="s">
        <v>16</v>
      </c>
      <c r="P189" t="s">
        <v>16</v>
      </c>
      <c r="Q189" t="s">
        <v>16</v>
      </c>
      <c r="R189" t="s">
        <v>16</v>
      </c>
      <c r="S189" t="s">
        <v>16</v>
      </c>
      <c r="T189" t="s">
        <v>3540</v>
      </c>
      <c r="U189" t="s">
        <v>3541</v>
      </c>
      <c r="V189" t="s">
        <v>3542</v>
      </c>
      <c r="W189" t="s">
        <v>3543</v>
      </c>
      <c r="X189" t="s">
        <v>3544</v>
      </c>
      <c r="Y189" t="s">
        <v>3545</v>
      </c>
      <c r="Z189" t="s">
        <v>3546</v>
      </c>
      <c r="AA189" t="s">
        <v>1246</v>
      </c>
      <c r="AB189" t="s">
        <v>1247</v>
      </c>
      <c r="AC189" t="s">
        <v>16</v>
      </c>
      <c r="AD189" t="s">
        <v>16</v>
      </c>
      <c r="AE189" t="s">
        <v>16</v>
      </c>
      <c r="AF189" t="s">
        <v>16</v>
      </c>
      <c r="AG189">
        <v>35</v>
      </c>
      <c r="AH189">
        <v>29</v>
      </c>
      <c r="AI189">
        <v>30</v>
      </c>
      <c r="AJ189">
        <v>1</v>
      </c>
      <c r="AK189">
        <v>13</v>
      </c>
      <c r="AL189" t="s">
        <v>569</v>
      </c>
      <c r="AM189" t="s">
        <v>570</v>
      </c>
      <c r="AN189" t="s">
        <v>571</v>
      </c>
      <c r="AO189" t="s">
        <v>3547</v>
      </c>
      <c r="AP189" t="s">
        <v>3548</v>
      </c>
      <c r="AQ189" t="s">
        <v>16</v>
      </c>
      <c r="AR189" t="s">
        <v>3549</v>
      </c>
      <c r="AS189" t="s">
        <v>3550</v>
      </c>
      <c r="AT189" t="s">
        <v>3551</v>
      </c>
      <c r="AU189">
        <v>2006</v>
      </c>
      <c r="AV189">
        <v>96</v>
      </c>
      <c r="AW189">
        <v>1</v>
      </c>
      <c r="AX189" t="s">
        <v>16</v>
      </c>
      <c r="AY189" t="s">
        <v>16</v>
      </c>
      <c r="AZ189" t="s">
        <v>16</v>
      </c>
      <c r="BA189" t="s">
        <v>16</v>
      </c>
      <c r="BB189">
        <v>168</v>
      </c>
      <c r="BC189">
        <v>175</v>
      </c>
      <c r="BD189" t="s">
        <v>16</v>
      </c>
      <c r="BE189" t="s">
        <v>3552</v>
      </c>
      <c r="BF189" t="str">
        <f>HYPERLINK("http://dx.doi.org/10.1016/j.fcr.2005.06.008","http://dx.doi.org/10.1016/j.fcr.2005.06.008")</f>
        <v>http://dx.doi.org/10.1016/j.fcr.2005.06.008</v>
      </c>
      <c r="BG189" t="s">
        <v>16</v>
      </c>
      <c r="BH189" t="s">
        <v>16</v>
      </c>
      <c r="BI189">
        <v>8</v>
      </c>
      <c r="BJ189" t="s">
        <v>40</v>
      </c>
      <c r="BK189" t="s">
        <v>73</v>
      </c>
      <c r="BL189" t="s">
        <v>42</v>
      </c>
      <c r="BM189" t="s">
        <v>3553</v>
      </c>
      <c r="BN189" t="s">
        <v>16</v>
      </c>
      <c r="BO189" t="s">
        <v>16</v>
      </c>
      <c r="BP189" t="s">
        <v>16</v>
      </c>
      <c r="BQ189" t="s">
        <v>16</v>
      </c>
      <c r="BR189" t="s">
        <v>44</v>
      </c>
      <c r="BS189" t="s">
        <v>3554</v>
      </c>
      <c r="BT189" t="str">
        <f>HYPERLINK("https%3A%2F%2Fwww.webofscience.com%2Fwos%2Fwoscc%2Ffull-record%2FWOS:000235502900020","View Full Record in Web of Science")</f>
        <v>View Full Record in Web of Science</v>
      </c>
    </row>
    <row r="190" spans="1:72" x14ac:dyDescent="0.2">
      <c r="A190" t="s">
        <v>46</v>
      </c>
      <c r="B190" t="s">
        <v>3555</v>
      </c>
      <c r="C190" t="s">
        <v>16</v>
      </c>
      <c r="D190" t="s">
        <v>16</v>
      </c>
      <c r="E190" t="s">
        <v>16</v>
      </c>
      <c r="F190" t="s">
        <v>3556</v>
      </c>
      <c r="G190" t="s">
        <v>16</v>
      </c>
      <c r="H190" t="s">
        <v>16</v>
      </c>
      <c r="I190" t="s">
        <v>3557</v>
      </c>
      <c r="J190" t="s">
        <v>117</v>
      </c>
      <c r="K190" t="s">
        <v>16</v>
      </c>
      <c r="L190" t="s">
        <v>16</v>
      </c>
      <c r="M190" t="s">
        <v>22</v>
      </c>
      <c r="N190" t="s">
        <v>51</v>
      </c>
      <c r="O190" t="s">
        <v>16</v>
      </c>
      <c r="P190" t="s">
        <v>16</v>
      </c>
      <c r="Q190" t="s">
        <v>16</v>
      </c>
      <c r="R190" t="s">
        <v>16</v>
      </c>
      <c r="S190" t="s">
        <v>16</v>
      </c>
      <c r="T190" t="s">
        <v>16</v>
      </c>
      <c r="U190" t="s">
        <v>3558</v>
      </c>
      <c r="V190" t="s">
        <v>3559</v>
      </c>
      <c r="W190" t="s">
        <v>3560</v>
      </c>
      <c r="X190" t="s">
        <v>3561</v>
      </c>
      <c r="Y190" t="s">
        <v>949</v>
      </c>
      <c r="Z190" t="s">
        <v>950</v>
      </c>
      <c r="AA190" t="s">
        <v>16</v>
      </c>
      <c r="AB190" t="s">
        <v>16</v>
      </c>
      <c r="AC190" t="s">
        <v>3562</v>
      </c>
      <c r="AD190" t="s">
        <v>3563</v>
      </c>
      <c r="AE190" t="s">
        <v>3564</v>
      </c>
      <c r="AF190" t="s">
        <v>16</v>
      </c>
      <c r="AG190">
        <v>28</v>
      </c>
      <c r="AH190">
        <v>0</v>
      </c>
      <c r="AI190">
        <v>0</v>
      </c>
      <c r="AJ190">
        <v>4</v>
      </c>
      <c r="AK190">
        <v>4</v>
      </c>
      <c r="AL190" t="s">
        <v>128</v>
      </c>
      <c r="AM190" t="s">
        <v>129</v>
      </c>
      <c r="AN190" t="s">
        <v>130</v>
      </c>
      <c r="AO190" t="s">
        <v>131</v>
      </c>
      <c r="AP190" t="s">
        <v>132</v>
      </c>
      <c r="AQ190" t="s">
        <v>16</v>
      </c>
      <c r="AR190" t="s">
        <v>133</v>
      </c>
      <c r="AS190" t="s">
        <v>134</v>
      </c>
      <c r="AT190" t="s">
        <v>318</v>
      </c>
      <c r="AU190">
        <v>2024</v>
      </c>
      <c r="AV190">
        <v>137</v>
      </c>
      <c r="AW190">
        <v>12</v>
      </c>
      <c r="AX190" t="s">
        <v>16</v>
      </c>
      <c r="AY190" t="s">
        <v>16</v>
      </c>
      <c r="AZ190" t="s">
        <v>16</v>
      </c>
      <c r="BA190" t="s">
        <v>16</v>
      </c>
      <c r="BB190" t="s">
        <v>16</v>
      </c>
      <c r="BC190" t="s">
        <v>16</v>
      </c>
      <c r="BD190">
        <v>270</v>
      </c>
      <c r="BE190" t="s">
        <v>3565</v>
      </c>
      <c r="BF190" t="str">
        <f>HYPERLINK("http://dx.doi.org/10.1007/s00122-024-04766-y","http://dx.doi.org/10.1007/s00122-024-04766-y")</f>
        <v>http://dx.doi.org/10.1007/s00122-024-04766-y</v>
      </c>
      <c r="BG190" t="s">
        <v>16</v>
      </c>
      <c r="BH190" t="s">
        <v>16</v>
      </c>
      <c r="BI190">
        <v>16</v>
      </c>
      <c r="BJ190" t="s">
        <v>296</v>
      </c>
      <c r="BK190" t="s">
        <v>73</v>
      </c>
      <c r="BL190" t="s">
        <v>137</v>
      </c>
      <c r="BM190" t="s">
        <v>3566</v>
      </c>
      <c r="BN190">
        <v>39550734</v>
      </c>
      <c r="BO190" t="s">
        <v>385</v>
      </c>
      <c r="BP190" t="s">
        <v>16</v>
      </c>
      <c r="BQ190" t="s">
        <v>16</v>
      </c>
      <c r="BR190" t="s">
        <v>44</v>
      </c>
      <c r="BS190" t="s">
        <v>3567</v>
      </c>
      <c r="BT190" t="str">
        <f>HYPERLINK("https%3A%2F%2Fwww.webofscience.com%2Fwos%2Fwoscc%2Ffull-record%2FWOS:001356473600001","View Full Record in Web of Science")</f>
        <v>View Full Record in Web of Science</v>
      </c>
    </row>
    <row r="191" spans="1:72" x14ac:dyDescent="0.2">
      <c r="A191" t="s">
        <v>141</v>
      </c>
      <c r="B191" t="s">
        <v>3568</v>
      </c>
      <c r="C191" t="s">
        <v>16</v>
      </c>
      <c r="D191" t="s">
        <v>3569</v>
      </c>
      <c r="E191" t="s">
        <v>16</v>
      </c>
      <c r="F191" t="s">
        <v>3570</v>
      </c>
      <c r="G191" t="s">
        <v>16</v>
      </c>
      <c r="H191" t="s">
        <v>16</v>
      </c>
      <c r="I191" t="s">
        <v>3571</v>
      </c>
      <c r="J191" t="s">
        <v>3572</v>
      </c>
      <c r="K191" t="s">
        <v>3573</v>
      </c>
      <c r="L191" t="s">
        <v>16</v>
      </c>
      <c r="M191" t="s">
        <v>22</v>
      </c>
      <c r="N191" t="s">
        <v>147</v>
      </c>
      <c r="O191" t="s">
        <v>3574</v>
      </c>
      <c r="P191" t="s">
        <v>3575</v>
      </c>
      <c r="Q191" t="s">
        <v>3576</v>
      </c>
      <c r="R191" t="s">
        <v>16</v>
      </c>
      <c r="S191" t="s">
        <v>16</v>
      </c>
      <c r="T191" t="s">
        <v>3577</v>
      </c>
      <c r="U191" t="s">
        <v>3578</v>
      </c>
      <c r="V191" t="s">
        <v>3579</v>
      </c>
      <c r="W191" t="s">
        <v>3580</v>
      </c>
      <c r="X191" t="s">
        <v>1021</v>
      </c>
      <c r="Y191" t="s">
        <v>3581</v>
      </c>
      <c r="Z191" t="s">
        <v>16</v>
      </c>
      <c r="AA191" t="s">
        <v>3582</v>
      </c>
      <c r="AB191" t="s">
        <v>3583</v>
      </c>
      <c r="AC191" t="s">
        <v>3584</v>
      </c>
      <c r="AD191" t="s">
        <v>3585</v>
      </c>
      <c r="AE191" t="s">
        <v>3586</v>
      </c>
      <c r="AF191" t="s">
        <v>16</v>
      </c>
      <c r="AG191">
        <v>13</v>
      </c>
      <c r="AH191">
        <v>0</v>
      </c>
      <c r="AI191">
        <v>0</v>
      </c>
      <c r="AJ191">
        <v>0</v>
      </c>
      <c r="AK191">
        <v>0</v>
      </c>
      <c r="AL191" t="s">
        <v>3587</v>
      </c>
      <c r="AM191" t="s">
        <v>3588</v>
      </c>
      <c r="AN191" t="s">
        <v>3589</v>
      </c>
      <c r="AO191" t="s">
        <v>3590</v>
      </c>
      <c r="AP191" t="s">
        <v>16</v>
      </c>
      <c r="AQ191" t="s">
        <v>3591</v>
      </c>
      <c r="AR191" t="s">
        <v>3592</v>
      </c>
      <c r="AS191" t="s">
        <v>16</v>
      </c>
      <c r="AT191" t="s">
        <v>16</v>
      </c>
      <c r="AU191">
        <v>2019</v>
      </c>
      <c r="AV191" t="s">
        <v>16</v>
      </c>
      <c r="AW191" t="s">
        <v>16</v>
      </c>
      <c r="AX191" t="s">
        <v>16</v>
      </c>
      <c r="AY191" t="s">
        <v>16</v>
      </c>
      <c r="AZ191" t="s">
        <v>16</v>
      </c>
      <c r="BA191" t="s">
        <v>16</v>
      </c>
      <c r="BB191">
        <v>8725</v>
      </c>
      <c r="BC191">
        <v>8731</v>
      </c>
      <c r="BD191" t="s">
        <v>16</v>
      </c>
      <c r="BE191" t="s">
        <v>16</v>
      </c>
      <c r="BF191" t="s">
        <v>16</v>
      </c>
      <c r="BG191" t="s">
        <v>16</v>
      </c>
      <c r="BH191" t="s">
        <v>16</v>
      </c>
      <c r="BI191">
        <v>7</v>
      </c>
      <c r="BJ191" t="s">
        <v>3593</v>
      </c>
      <c r="BK191" t="s">
        <v>3594</v>
      </c>
      <c r="BL191" t="s">
        <v>3593</v>
      </c>
      <c r="BM191" t="s">
        <v>3595</v>
      </c>
      <c r="BN191" t="s">
        <v>16</v>
      </c>
      <c r="BO191" t="s">
        <v>16</v>
      </c>
      <c r="BP191" t="s">
        <v>16</v>
      </c>
      <c r="BQ191" t="s">
        <v>16</v>
      </c>
      <c r="BR191" t="s">
        <v>44</v>
      </c>
      <c r="BS191" t="s">
        <v>3596</v>
      </c>
      <c r="BT191" t="str">
        <f>HYPERLINK("https%3A%2F%2Fwww.webofscience.com%2Fwos%2Fwoscc%2Ffull-record%2FWOS:000553304903047","View Full Record in Web of Science")</f>
        <v>View Full Record in Web of Science</v>
      </c>
    </row>
    <row r="192" spans="1:72" x14ac:dyDescent="0.2">
      <c r="A192" t="s">
        <v>46</v>
      </c>
      <c r="B192" t="s">
        <v>1219</v>
      </c>
      <c r="C192" t="s">
        <v>16</v>
      </c>
      <c r="D192" t="s">
        <v>16</v>
      </c>
      <c r="E192" t="s">
        <v>16</v>
      </c>
      <c r="F192" t="s">
        <v>1220</v>
      </c>
      <c r="G192" t="s">
        <v>16</v>
      </c>
      <c r="H192" t="s">
        <v>16</v>
      </c>
      <c r="I192" t="s">
        <v>3597</v>
      </c>
      <c r="J192" t="s">
        <v>557</v>
      </c>
      <c r="K192" t="s">
        <v>16</v>
      </c>
      <c r="L192" t="s">
        <v>16</v>
      </c>
      <c r="M192" t="s">
        <v>22</v>
      </c>
      <c r="N192" t="s">
        <v>51</v>
      </c>
      <c r="O192" t="s">
        <v>16</v>
      </c>
      <c r="P192" t="s">
        <v>16</v>
      </c>
      <c r="Q192" t="s">
        <v>16</v>
      </c>
      <c r="R192" t="s">
        <v>16</v>
      </c>
      <c r="S192" t="s">
        <v>16</v>
      </c>
      <c r="T192" t="s">
        <v>3598</v>
      </c>
      <c r="U192" t="s">
        <v>3599</v>
      </c>
      <c r="V192" t="s">
        <v>3600</v>
      </c>
      <c r="W192" t="s">
        <v>1225</v>
      </c>
      <c r="X192" t="s">
        <v>1226</v>
      </c>
      <c r="Y192" t="s">
        <v>1227</v>
      </c>
      <c r="Z192" t="s">
        <v>1228</v>
      </c>
      <c r="AA192" t="s">
        <v>3601</v>
      </c>
      <c r="AB192" t="s">
        <v>3602</v>
      </c>
      <c r="AC192" t="s">
        <v>1231</v>
      </c>
      <c r="AD192" t="s">
        <v>1231</v>
      </c>
      <c r="AE192" t="s">
        <v>3603</v>
      </c>
      <c r="AF192" t="s">
        <v>16</v>
      </c>
      <c r="AG192">
        <v>53</v>
      </c>
      <c r="AH192">
        <v>14</v>
      </c>
      <c r="AI192">
        <v>14</v>
      </c>
      <c r="AJ192">
        <v>1</v>
      </c>
      <c r="AK192">
        <v>17</v>
      </c>
      <c r="AL192" t="s">
        <v>569</v>
      </c>
      <c r="AM192" t="s">
        <v>570</v>
      </c>
      <c r="AN192" t="s">
        <v>571</v>
      </c>
      <c r="AO192" t="s">
        <v>572</v>
      </c>
      <c r="AP192" t="s">
        <v>573</v>
      </c>
      <c r="AQ192" t="s">
        <v>16</v>
      </c>
      <c r="AR192" t="s">
        <v>574</v>
      </c>
      <c r="AS192" t="s">
        <v>575</v>
      </c>
      <c r="AT192" t="s">
        <v>419</v>
      </c>
      <c r="AU192">
        <v>2020</v>
      </c>
      <c r="AV192">
        <v>118</v>
      </c>
      <c r="AW192" t="s">
        <v>16</v>
      </c>
      <c r="AX192" t="s">
        <v>16</v>
      </c>
      <c r="AY192" t="s">
        <v>16</v>
      </c>
      <c r="AZ192" t="s">
        <v>16</v>
      </c>
      <c r="BA192" t="s">
        <v>16</v>
      </c>
      <c r="BB192" t="s">
        <v>16</v>
      </c>
      <c r="BC192" t="s">
        <v>16</v>
      </c>
      <c r="BD192">
        <v>126068</v>
      </c>
      <c r="BE192" t="s">
        <v>3604</v>
      </c>
      <c r="BF192" t="str">
        <f>HYPERLINK("http://dx.doi.org/10.1016/j.eja.2020.126068","http://dx.doi.org/10.1016/j.eja.2020.126068")</f>
        <v>http://dx.doi.org/10.1016/j.eja.2020.126068</v>
      </c>
      <c r="BG192" t="s">
        <v>16</v>
      </c>
      <c r="BH192" t="s">
        <v>16</v>
      </c>
      <c r="BI192">
        <v>14</v>
      </c>
      <c r="BJ192" t="s">
        <v>40</v>
      </c>
      <c r="BK192" t="s">
        <v>73</v>
      </c>
      <c r="BL192" t="s">
        <v>42</v>
      </c>
      <c r="BM192" t="s">
        <v>3605</v>
      </c>
      <c r="BN192" t="s">
        <v>16</v>
      </c>
      <c r="BO192" t="s">
        <v>16</v>
      </c>
      <c r="BP192" t="s">
        <v>16</v>
      </c>
      <c r="BQ192" t="s">
        <v>16</v>
      </c>
      <c r="BR192" t="s">
        <v>44</v>
      </c>
      <c r="BS192" t="s">
        <v>3606</v>
      </c>
      <c r="BT192" t="str">
        <f>HYPERLINK("https%3A%2F%2Fwww.webofscience.com%2Fwos%2Fwoscc%2Ffull-record%2FWOS:000537581800001","View Full Record in Web of Science")</f>
        <v>View Full Record in Web of Science</v>
      </c>
    </row>
    <row r="193" spans="1:72" x14ac:dyDescent="0.2">
      <c r="A193" t="s">
        <v>46</v>
      </c>
      <c r="B193" t="s">
        <v>3607</v>
      </c>
      <c r="C193" t="s">
        <v>16</v>
      </c>
      <c r="D193" t="s">
        <v>16</v>
      </c>
      <c r="E193" t="s">
        <v>16</v>
      </c>
      <c r="F193" t="s">
        <v>3608</v>
      </c>
      <c r="G193" t="s">
        <v>16</v>
      </c>
      <c r="H193" t="s">
        <v>16</v>
      </c>
      <c r="I193" t="s">
        <v>3609</v>
      </c>
      <c r="J193" t="s">
        <v>707</v>
      </c>
      <c r="K193" t="s">
        <v>16</v>
      </c>
      <c r="L193" t="s">
        <v>16</v>
      </c>
      <c r="M193" t="s">
        <v>22</v>
      </c>
      <c r="N193" t="s">
        <v>51</v>
      </c>
      <c r="O193" t="s">
        <v>16</v>
      </c>
      <c r="P193" t="s">
        <v>16</v>
      </c>
      <c r="Q193" t="s">
        <v>16</v>
      </c>
      <c r="R193" t="s">
        <v>16</v>
      </c>
      <c r="S193" t="s">
        <v>16</v>
      </c>
      <c r="T193" t="s">
        <v>3610</v>
      </c>
      <c r="U193" t="s">
        <v>3611</v>
      </c>
      <c r="V193" t="s">
        <v>3612</v>
      </c>
      <c r="W193" t="s">
        <v>3613</v>
      </c>
      <c r="X193" t="s">
        <v>3614</v>
      </c>
      <c r="Y193" t="s">
        <v>3615</v>
      </c>
      <c r="Z193" t="s">
        <v>3616</v>
      </c>
      <c r="AA193" t="s">
        <v>3617</v>
      </c>
      <c r="AB193" t="s">
        <v>3618</v>
      </c>
      <c r="AC193" t="s">
        <v>3619</v>
      </c>
      <c r="AD193" t="s">
        <v>3620</v>
      </c>
      <c r="AE193" t="s">
        <v>3621</v>
      </c>
      <c r="AF193" t="s">
        <v>16</v>
      </c>
      <c r="AG193">
        <v>82</v>
      </c>
      <c r="AH193">
        <v>39</v>
      </c>
      <c r="AI193">
        <v>43</v>
      </c>
      <c r="AJ193">
        <v>6</v>
      </c>
      <c r="AK193">
        <v>84</v>
      </c>
      <c r="AL193" t="s">
        <v>720</v>
      </c>
      <c r="AM193" t="s">
        <v>721</v>
      </c>
      <c r="AN193" t="s">
        <v>722</v>
      </c>
      <c r="AO193" t="s">
        <v>723</v>
      </c>
      <c r="AP193" t="s">
        <v>724</v>
      </c>
      <c r="AQ193" t="s">
        <v>16</v>
      </c>
      <c r="AR193" t="s">
        <v>725</v>
      </c>
      <c r="AS193" t="s">
        <v>726</v>
      </c>
      <c r="AT193" t="s">
        <v>1533</v>
      </c>
      <c r="AU193">
        <v>2017</v>
      </c>
      <c r="AV193">
        <v>68</v>
      </c>
      <c r="AW193">
        <v>5</v>
      </c>
      <c r="AX193" t="s">
        <v>16</v>
      </c>
      <c r="AY193" t="s">
        <v>16</v>
      </c>
      <c r="AZ193" t="s">
        <v>16</v>
      </c>
      <c r="BA193" t="s">
        <v>16</v>
      </c>
      <c r="BB193">
        <v>965</v>
      </c>
      <c r="BC193">
        <v>982</v>
      </c>
      <c r="BD193" t="s">
        <v>16</v>
      </c>
      <c r="BE193" t="s">
        <v>3622</v>
      </c>
      <c r="BF193" t="str">
        <f>HYPERLINK("http://dx.doi.org/10.1093/jxb/erw494","http://dx.doi.org/10.1093/jxb/erw494")</f>
        <v>http://dx.doi.org/10.1093/jxb/erw494</v>
      </c>
      <c r="BG193" t="s">
        <v>16</v>
      </c>
      <c r="BH193" t="s">
        <v>16</v>
      </c>
      <c r="BI193">
        <v>18</v>
      </c>
      <c r="BJ193" t="s">
        <v>214</v>
      </c>
      <c r="BK193" t="s">
        <v>73</v>
      </c>
      <c r="BL193" t="s">
        <v>214</v>
      </c>
      <c r="BM193" t="s">
        <v>3623</v>
      </c>
      <c r="BN193">
        <v>28168270</v>
      </c>
      <c r="BO193" t="s">
        <v>385</v>
      </c>
      <c r="BP193" t="s">
        <v>16</v>
      </c>
      <c r="BQ193" t="s">
        <v>16</v>
      </c>
      <c r="BR193" t="s">
        <v>44</v>
      </c>
      <c r="BS193" t="s">
        <v>3624</v>
      </c>
      <c r="BT193" t="str">
        <f>HYPERLINK("https%3A%2F%2Fwww.webofscience.com%2Fwos%2Fwoscc%2Ffull-record%2FWOS:000397161300008","View Full Record in Web of Science")</f>
        <v>View Full Record in Web of Science</v>
      </c>
    </row>
    <row r="194" spans="1:72" x14ac:dyDescent="0.2">
      <c r="A194" t="s">
        <v>46</v>
      </c>
      <c r="B194" t="s">
        <v>3625</v>
      </c>
      <c r="C194" t="s">
        <v>16</v>
      </c>
      <c r="D194" t="s">
        <v>16</v>
      </c>
      <c r="E194" t="s">
        <v>16</v>
      </c>
      <c r="F194" t="s">
        <v>3625</v>
      </c>
      <c r="G194" t="s">
        <v>16</v>
      </c>
      <c r="H194" t="s">
        <v>16</v>
      </c>
      <c r="I194" t="s">
        <v>3626</v>
      </c>
      <c r="J194" t="s">
        <v>557</v>
      </c>
      <c r="K194" t="s">
        <v>16</v>
      </c>
      <c r="L194" t="s">
        <v>16</v>
      </c>
      <c r="M194" t="s">
        <v>22</v>
      </c>
      <c r="N194" t="s">
        <v>51</v>
      </c>
      <c r="O194" t="s">
        <v>16</v>
      </c>
      <c r="P194" t="s">
        <v>16</v>
      </c>
      <c r="Q194" t="s">
        <v>16</v>
      </c>
      <c r="R194" t="s">
        <v>16</v>
      </c>
      <c r="S194" t="s">
        <v>16</v>
      </c>
      <c r="T194" t="s">
        <v>3627</v>
      </c>
      <c r="U194" t="s">
        <v>3628</v>
      </c>
      <c r="V194" t="s">
        <v>3629</v>
      </c>
      <c r="W194" t="s">
        <v>3630</v>
      </c>
      <c r="X194" t="s">
        <v>3631</v>
      </c>
      <c r="Y194" t="s">
        <v>3632</v>
      </c>
      <c r="Z194" t="s">
        <v>3633</v>
      </c>
      <c r="AA194" t="s">
        <v>1246</v>
      </c>
      <c r="AB194" t="s">
        <v>16</v>
      </c>
      <c r="AC194" t="s">
        <v>16</v>
      </c>
      <c r="AD194" t="s">
        <v>16</v>
      </c>
      <c r="AE194" t="s">
        <v>16</v>
      </c>
      <c r="AF194" t="s">
        <v>16</v>
      </c>
      <c r="AG194">
        <v>28</v>
      </c>
      <c r="AH194">
        <v>1</v>
      </c>
      <c r="AI194">
        <v>1</v>
      </c>
      <c r="AJ194">
        <v>1</v>
      </c>
      <c r="AK194">
        <v>4</v>
      </c>
      <c r="AL194" t="s">
        <v>569</v>
      </c>
      <c r="AM194" t="s">
        <v>570</v>
      </c>
      <c r="AN194" t="s">
        <v>571</v>
      </c>
      <c r="AO194" t="s">
        <v>572</v>
      </c>
      <c r="AP194" t="s">
        <v>573</v>
      </c>
      <c r="AQ194" t="s">
        <v>16</v>
      </c>
      <c r="AR194" t="s">
        <v>574</v>
      </c>
      <c r="AS194" t="s">
        <v>575</v>
      </c>
      <c r="AT194" t="s">
        <v>812</v>
      </c>
      <c r="AU194">
        <v>2005</v>
      </c>
      <c r="AV194">
        <v>23</v>
      </c>
      <c r="AW194">
        <v>2</v>
      </c>
      <c r="AX194" t="s">
        <v>16</v>
      </c>
      <c r="AY194" t="s">
        <v>16</v>
      </c>
      <c r="AZ194" t="s">
        <v>16</v>
      </c>
      <c r="BA194" t="s">
        <v>16</v>
      </c>
      <c r="BB194">
        <v>170</v>
      </c>
      <c r="BC194">
        <v>182</v>
      </c>
      <c r="BD194" t="s">
        <v>16</v>
      </c>
      <c r="BE194" t="s">
        <v>3634</v>
      </c>
      <c r="BF194" t="str">
        <f>HYPERLINK("http://dx.doi.org/10.1016/j.eja.2004.11.005","http://dx.doi.org/10.1016/j.eja.2004.11.005")</f>
        <v>http://dx.doi.org/10.1016/j.eja.2004.11.005</v>
      </c>
      <c r="BG194" t="s">
        <v>16</v>
      </c>
      <c r="BH194" t="s">
        <v>16</v>
      </c>
      <c r="BI194">
        <v>13</v>
      </c>
      <c r="BJ194" t="s">
        <v>40</v>
      </c>
      <c r="BK194" t="s">
        <v>73</v>
      </c>
      <c r="BL194" t="s">
        <v>42</v>
      </c>
      <c r="BM194" t="s">
        <v>3635</v>
      </c>
      <c r="BN194" t="s">
        <v>16</v>
      </c>
      <c r="BO194" t="s">
        <v>16</v>
      </c>
      <c r="BP194" t="s">
        <v>16</v>
      </c>
      <c r="BQ194" t="s">
        <v>16</v>
      </c>
      <c r="BR194" t="s">
        <v>44</v>
      </c>
      <c r="BS194" t="s">
        <v>3636</v>
      </c>
      <c r="BT194" t="str">
        <f>HYPERLINK("https%3A%2F%2Fwww.webofscience.com%2Fwos%2Fwoscc%2Ffull-record%2FWOS:000231846400007","View Full Record in Web of Science")</f>
        <v>View Full Record in Web of Science</v>
      </c>
    </row>
    <row r="195" spans="1:72" x14ac:dyDescent="0.2">
      <c r="A195" t="s">
        <v>46</v>
      </c>
      <c r="B195" t="s">
        <v>3637</v>
      </c>
      <c r="C195" t="s">
        <v>16</v>
      </c>
      <c r="D195" t="s">
        <v>16</v>
      </c>
      <c r="E195" t="s">
        <v>16</v>
      </c>
      <c r="F195" t="s">
        <v>3637</v>
      </c>
      <c r="G195" t="s">
        <v>16</v>
      </c>
      <c r="H195" t="s">
        <v>16</v>
      </c>
      <c r="I195" t="s">
        <v>3638</v>
      </c>
      <c r="J195" t="s">
        <v>326</v>
      </c>
      <c r="K195" t="s">
        <v>16</v>
      </c>
      <c r="L195" t="s">
        <v>16</v>
      </c>
      <c r="M195" t="s">
        <v>22</v>
      </c>
      <c r="N195" t="s">
        <v>51</v>
      </c>
      <c r="O195" t="s">
        <v>16</v>
      </c>
      <c r="P195" t="s">
        <v>16</v>
      </c>
      <c r="Q195" t="s">
        <v>16</v>
      </c>
      <c r="R195" t="s">
        <v>16</v>
      </c>
      <c r="S195" t="s">
        <v>16</v>
      </c>
      <c r="T195" t="s">
        <v>16</v>
      </c>
      <c r="U195" t="s">
        <v>3639</v>
      </c>
      <c r="V195" t="s">
        <v>3640</v>
      </c>
      <c r="W195" t="s">
        <v>3641</v>
      </c>
      <c r="X195" t="s">
        <v>3642</v>
      </c>
      <c r="Y195" t="s">
        <v>3643</v>
      </c>
      <c r="Z195" t="s">
        <v>3218</v>
      </c>
      <c r="AA195" t="s">
        <v>3644</v>
      </c>
      <c r="AB195" t="s">
        <v>3645</v>
      </c>
      <c r="AC195" t="s">
        <v>16</v>
      </c>
      <c r="AD195" t="s">
        <v>16</v>
      </c>
      <c r="AE195" t="s">
        <v>16</v>
      </c>
      <c r="AF195" t="s">
        <v>16</v>
      </c>
      <c r="AG195">
        <v>26</v>
      </c>
      <c r="AH195">
        <v>118</v>
      </c>
      <c r="AI195">
        <v>156</v>
      </c>
      <c r="AJ195">
        <v>0</v>
      </c>
      <c r="AK195">
        <v>14</v>
      </c>
      <c r="AL195" t="s">
        <v>745</v>
      </c>
      <c r="AM195" t="s">
        <v>746</v>
      </c>
      <c r="AN195" t="s">
        <v>747</v>
      </c>
      <c r="AO195" t="s">
        <v>335</v>
      </c>
      <c r="AP195" t="s">
        <v>336</v>
      </c>
      <c r="AQ195" t="s">
        <v>16</v>
      </c>
      <c r="AR195" t="s">
        <v>326</v>
      </c>
      <c r="AS195" t="s">
        <v>337</v>
      </c>
      <c r="AT195" t="s">
        <v>623</v>
      </c>
      <c r="AU195">
        <v>1998</v>
      </c>
      <c r="AV195">
        <v>148</v>
      </c>
      <c r="AW195">
        <v>3</v>
      </c>
      <c r="AX195" t="s">
        <v>16</v>
      </c>
      <c r="AY195" t="s">
        <v>16</v>
      </c>
      <c r="AZ195" t="s">
        <v>16</v>
      </c>
      <c r="BA195" t="s">
        <v>16</v>
      </c>
      <c r="BB195">
        <v>1353</v>
      </c>
      <c r="BC195">
        <v>1365</v>
      </c>
      <c r="BD195" t="s">
        <v>16</v>
      </c>
      <c r="BE195" t="s">
        <v>16</v>
      </c>
      <c r="BF195" t="s">
        <v>16</v>
      </c>
      <c r="BG195" t="s">
        <v>16</v>
      </c>
      <c r="BH195" t="s">
        <v>16</v>
      </c>
      <c r="BI195">
        <v>13</v>
      </c>
      <c r="BJ195" t="s">
        <v>339</v>
      </c>
      <c r="BK195" t="s">
        <v>73</v>
      </c>
      <c r="BL195" t="s">
        <v>339</v>
      </c>
      <c r="BM195" t="s">
        <v>3646</v>
      </c>
      <c r="BN195">
        <v>9539448</v>
      </c>
      <c r="BO195" t="s">
        <v>16</v>
      </c>
      <c r="BP195" t="s">
        <v>16</v>
      </c>
      <c r="BQ195" t="s">
        <v>16</v>
      </c>
      <c r="BR195" t="s">
        <v>44</v>
      </c>
      <c r="BS195" t="s">
        <v>3647</v>
      </c>
      <c r="BT195" t="str">
        <f>HYPERLINK("https%3A%2F%2Fwww.webofscience.com%2Fwos%2Fwoscc%2Ffull-record%2FWOS:000072638000036","View Full Record in Web of Science")</f>
        <v>View Full Record in Web of Science</v>
      </c>
    </row>
    <row r="196" spans="1:72" x14ac:dyDescent="0.2">
      <c r="A196" t="s">
        <v>46</v>
      </c>
      <c r="B196" t="s">
        <v>3648</v>
      </c>
      <c r="C196" t="s">
        <v>16</v>
      </c>
      <c r="D196" t="s">
        <v>16</v>
      </c>
      <c r="E196" t="s">
        <v>16</v>
      </c>
      <c r="F196" t="s">
        <v>3649</v>
      </c>
      <c r="G196" t="s">
        <v>16</v>
      </c>
      <c r="H196" t="s">
        <v>16</v>
      </c>
      <c r="I196" t="s">
        <v>3650</v>
      </c>
      <c r="J196" t="s">
        <v>50</v>
      </c>
      <c r="K196" t="s">
        <v>16</v>
      </c>
      <c r="L196" t="s">
        <v>16</v>
      </c>
      <c r="M196" t="s">
        <v>22</v>
      </c>
      <c r="N196" t="s">
        <v>51</v>
      </c>
      <c r="O196" t="s">
        <v>16</v>
      </c>
      <c r="P196" t="s">
        <v>16</v>
      </c>
      <c r="Q196" t="s">
        <v>16</v>
      </c>
      <c r="R196" t="s">
        <v>16</v>
      </c>
      <c r="S196" t="s">
        <v>16</v>
      </c>
      <c r="T196" t="s">
        <v>16</v>
      </c>
      <c r="U196" t="s">
        <v>3651</v>
      </c>
      <c r="V196" t="s">
        <v>3652</v>
      </c>
      <c r="W196" t="s">
        <v>3653</v>
      </c>
      <c r="X196" t="s">
        <v>3654</v>
      </c>
      <c r="Y196" t="s">
        <v>3655</v>
      </c>
      <c r="Z196" t="s">
        <v>3656</v>
      </c>
      <c r="AA196" t="s">
        <v>3657</v>
      </c>
      <c r="AB196" t="s">
        <v>3658</v>
      </c>
      <c r="AC196" t="s">
        <v>3659</v>
      </c>
      <c r="AD196" t="s">
        <v>3660</v>
      </c>
      <c r="AE196" t="s">
        <v>3661</v>
      </c>
      <c r="AF196" t="s">
        <v>16</v>
      </c>
      <c r="AG196">
        <v>50</v>
      </c>
      <c r="AH196">
        <v>23</v>
      </c>
      <c r="AI196">
        <v>25</v>
      </c>
      <c r="AJ196">
        <v>0</v>
      </c>
      <c r="AK196">
        <v>10</v>
      </c>
      <c r="AL196" t="s">
        <v>63</v>
      </c>
      <c r="AM196" t="s">
        <v>64</v>
      </c>
      <c r="AN196" t="s">
        <v>65</v>
      </c>
      <c r="AO196" t="s">
        <v>66</v>
      </c>
      <c r="AP196" t="s">
        <v>67</v>
      </c>
      <c r="AQ196" t="s">
        <v>16</v>
      </c>
      <c r="AR196" t="s">
        <v>68</v>
      </c>
      <c r="AS196" t="s">
        <v>69</v>
      </c>
      <c r="AT196" t="s">
        <v>2414</v>
      </c>
      <c r="AU196">
        <v>2012</v>
      </c>
      <c r="AV196">
        <v>52</v>
      </c>
      <c r="AW196">
        <v>2</v>
      </c>
      <c r="AX196" t="s">
        <v>16</v>
      </c>
      <c r="AY196" t="s">
        <v>16</v>
      </c>
      <c r="AZ196" t="s">
        <v>16</v>
      </c>
      <c r="BA196" t="s">
        <v>16</v>
      </c>
      <c r="BB196">
        <v>764</v>
      </c>
      <c r="BC196">
        <v>773</v>
      </c>
      <c r="BD196" t="s">
        <v>16</v>
      </c>
      <c r="BE196" t="s">
        <v>3662</v>
      </c>
      <c r="BF196" t="str">
        <f>HYPERLINK("http://dx.doi.org/10.2135/cropsci2011.08.0427","http://dx.doi.org/10.2135/cropsci2011.08.0427")</f>
        <v>http://dx.doi.org/10.2135/cropsci2011.08.0427</v>
      </c>
      <c r="BG196" t="s">
        <v>16</v>
      </c>
      <c r="BH196" t="s">
        <v>16</v>
      </c>
      <c r="BI196">
        <v>10</v>
      </c>
      <c r="BJ196" t="s">
        <v>40</v>
      </c>
      <c r="BK196" t="s">
        <v>73</v>
      </c>
      <c r="BL196" t="s">
        <v>42</v>
      </c>
      <c r="BM196" t="s">
        <v>3663</v>
      </c>
      <c r="BN196" t="s">
        <v>16</v>
      </c>
      <c r="BO196" t="s">
        <v>16</v>
      </c>
      <c r="BP196" t="s">
        <v>16</v>
      </c>
      <c r="BQ196" t="s">
        <v>16</v>
      </c>
      <c r="BR196" t="s">
        <v>44</v>
      </c>
      <c r="BS196" t="s">
        <v>3664</v>
      </c>
      <c r="BT196" t="str">
        <f>HYPERLINK("https%3A%2F%2Fwww.webofscience.com%2Fwos%2Fwoscc%2Ffull-record%2FWOS:000300800400032","View Full Record in Web of Science")</f>
        <v>View Full Record in Web of Science</v>
      </c>
    </row>
    <row r="197" spans="1:72" x14ac:dyDescent="0.2">
      <c r="A197" t="s">
        <v>46</v>
      </c>
      <c r="B197" t="s">
        <v>3665</v>
      </c>
      <c r="C197" t="s">
        <v>16</v>
      </c>
      <c r="D197" t="s">
        <v>16</v>
      </c>
      <c r="E197" t="s">
        <v>16</v>
      </c>
      <c r="F197" t="s">
        <v>3666</v>
      </c>
      <c r="G197" t="s">
        <v>16</v>
      </c>
      <c r="H197" t="s">
        <v>16</v>
      </c>
      <c r="I197" t="s">
        <v>3667</v>
      </c>
      <c r="J197" t="s">
        <v>3668</v>
      </c>
      <c r="K197" t="s">
        <v>16</v>
      </c>
      <c r="L197" t="s">
        <v>16</v>
      </c>
      <c r="M197" t="s">
        <v>22</v>
      </c>
      <c r="N197" t="s">
        <v>51</v>
      </c>
      <c r="O197" t="s">
        <v>16</v>
      </c>
      <c r="P197" t="s">
        <v>16</v>
      </c>
      <c r="Q197" t="s">
        <v>16</v>
      </c>
      <c r="R197" t="s">
        <v>16</v>
      </c>
      <c r="S197" t="s">
        <v>16</v>
      </c>
      <c r="T197" t="s">
        <v>3669</v>
      </c>
      <c r="U197" t="s">
        <v>3670</v>
      </c>
      <c r="V197" t="s">
        <v>3671</v>
      </c>
      <c r="W197" t="s">
        <v>3672</v>
      </c>
      <c r="X197" t="s">
        <v>3673</v>
      </c>
      <c r="Y197" t="s">
        <v>3674</v>
      </c>
      <c r="Z197" t="s">
        <v>3675</v>
      </c>
      <c r="AA197" t="s">
        <v>3676</v>
      </c>
      <c r="AB197" t="s">
        <v>3677</v>
      </c>
      <c r="AC197" t="s">
        <v>3678</v>
      </c>
      <c r="AD197" t="s">
        <v>3679</v>
      </c>
      <c r="AE197" t="s">
        <v>3680</v>
      </c>
      <c r="AF197" t="s">
        <v>16</v>
      </c>
      <c r="AG197">
        <v>123</v>
      </c>
      <c r="AH197">
        <v>4</v>
      </c>
      <c r="AI197">
        <v>4</v>
      </c>
      <c r="AJ197">
        <v>1</v>
      </c>
      <c r="AK197">
        <v>15</v>
      </c>
      <c r="AL197" t="s">
        <v>3681</v>
      </c>
      <c r="AM197" t="s">
        <v>3682</v>
      </c>
      <c r="AN197" t="s">
        <v>3683</v>
      </c>
      <c r="AO197" t="s">
        <v>3684</v>
      </c>
      <c r="AP197" t="s">
        <v>3685</v>
      </c>
      <c r="AQ197" t="s">
        <v>16</v>
      </c>
      <c r="AR197" t="s">
        <v>3686</v>
      </c>
      <c r="AS197" t="s">
        <v>3687</v>
      </c>
      <c r="AT197" t="s">
        <v>3688</v>
      </c>
      <c r="AU197">
        <v>2020</v>
      </c>
      <c r="AV197">
        <v>27</v>
      </c>
      <c r="AW197" t="s">
        <v>16</v>
      </c>
      <c r="AX197" t="s">
        <v>16</v>
      </c>
      <c r="AY197" t="s">
        <v>16</v>
      </c>
      <c r="AZ197" t="s">
        <v>16</v>
      </c>
      <c r="BA197" t="s">
        <v>16</v>
      </c>
      <c r="BB197" t="s">
        <v>16</v>
      </c>
      <c r="BC197" t="s">
        <v>16</v>
      </c>
      <c r="BD197">
        <v>14</v>
      </c>
      <c r="BE197" t="s">
        <v>3689</v>
      </c>
      <c r="BF197" t="str">
        <f>HYPERLINK("http://dx.doi.org/10.1051/ocl/2020006","http://dx.doi.org/10.1051/ocl/2020006")</f>
        <v>http://dx.doi.org/10.1051/ocl/2020006</v>
      </c>
      <c r="BG197" t="s">
        <v>16</v>
      </c>
      <c r="BH197" t="s">
        <v>16</v>
      </c>
      <c r="BI197">
        <v>17</v>
      </c>
      <c r="BJ197" t="s">
        <v>40</v>
      </c>
      <c r="BK197" t="s">
        <v>603</v>
      </c>
      <c r="BL197" t="s">
        <v>42</v>
      </c>
      <c r="BM197" t="s">
        <v>3690</v>
      </c>
      <c r="BN197" t="s">
        <v>16</v>
      </c>
      <c r="BO197" t="s">
        <v>216</v>
      </c>
      <c r="BP197" t="s">
        <v>16</v>
      </c>
      <c r="BQ197" t="s">
        <v>16</v>
      </c>
      <c r="BR197" t="s">
        <v>44</v>
      </c>
      <c r="BS197" t="s">
        <v>3691</v>
      </c>
      <c r="BT197" t="str">
        <f>HYPERLINK("https%3A%2F%2Fwww.webofscience.com%2Fwos%2Fwoscc%2Ffull-record%2FWOS:000526546600003","View Full Record in Web of Science")</f>
        <v>View Full Record in Web of Science</v>
      </c>
    </row>
    <row r="198" spans="1:72" x14ac:dyDescent="0.2">
      <c r="A198" t="s">
        <v>46</v>
      </c>
      <c r="B198" t="s">
        <v>3692</v>
      </c>
      <c r="C198" t="s">
        <v>16</v>
      </c>
      <c r="D198" t="s">
        <v>16</v>
      </c>
      <c r="E198" t="s">
        <v>16</v>
      </c>
      <c r="F198" t="s">
        <v>3693</v>
      </c>
      <c r="G198" t="s">
        <v>16</v>
      </c>
      <c r="H198" t="s">
        <v>16</v>
      </c>
      <c r="I198" t="s">
        <v>3694</v>
      </c>
      <c r="J198" t="s">
        <v>1541</v>
      </c>
      <c r="K198" t="s">
        <v>16</v>
      </c>
      <c r="L198" t="s">
        <v>16</v>
      </c>
      <c r="M198" t="s">
        <v>22</v>
      </c>
      <c r="N198" t="s">
        <v>51</v>
      </c>
      <c r="O198" t="s">
        <v>16</v>
      </c>
      <c r="P198" t="s">
        <v>16</v>
      </c>
      <c r="Q198" t="s">
        <v>16</v>
      </c>
      <c r="R198" t="s">
        <v>16</v>
      </c>
      <c r="S198" t="s">
        <v>16</v>
      </c>
      <c r="T198" t="s">
        <v>16</v>
      </c>
      <c r="U198" t="s">
        <v>3695</v>
      </c>
      <c r="V198" t="s">
        <v>3696</v>
      </c>
      <c r="W198" t="s">
        <v>3697</v>
      </c>
      <c r="X198" t="s">
        <v>3698</v>
      </c>
      <c r="Y198" t="s">
        <v>3699</v>
      </c>
      <c r="Z198" t="s">
        <v>3700</v>
      </c>
      <c r="AA198" t="s">
        <v>3701</v>
      </c>
      <c r="AB198" t="s">
        <v>3702</v>
      </c>
      <c r="AC198" t="s">
        <v>3703</v>
      </c>
      <c r="AD198" t="s">
        <v>3704</v>
      </c>
      <c r="AE198" t="s">
        <v>3705</v>
      </c>
      <c r="AF198" t="s">
        <v>16</v>
      </c>
      <c r="AG198">
        <v>48</v>
      </c>
      <c r="AH198">
        <v>7</v>
      </c>
      <c r="AI198">
        <v>7</v>
      </c>
      <c r="AJ198">
        <v>0</v>
      </c>
      <c r="AK198">
        <v>7</v>
      </c>
      <c r="AL198" t="s">
        <v>1553</v>
      </c>
      <c r="AM198" t="s">
        <v>1554</v>
      </c>
      <c r="AN198" t="s">
        <v>1555</v>
      </c>
      <c r="AO198" t="s">
        <v>1556</v>
      </c>
      <c r="AP198" t="s">
        <v>16</v>
      </c>
      <c r="AQ198" t="s">
        <v>16</v>
      </c>
      <c r="AR198" t="s">
        <v>1541</v>
      </c>
      <c r="AS198" t="s">
        <v>1557</v>
      </c>
      <c r="AT198" t="s">
        <v>3706</v>
      </c>
      <c r="AU198">
        <v>2021</v>
      </c>
      <c r="AV198">
        <v>16</v>
      </c>
      <c r="AW198">
        <v>1</v>
      </c>
      <c r="AX198" t="s">
        <v>16</v>
      </c>
      <c r="AY198" t="s">
        <v>16</v>
      </c>
      <c r="AZ198" t="s">
        <v>16</v>
      </c>
      <c r="BA198" t="s">
        <v>16</v>
      </c>
      <c r="BB198" t="s">
        <v>16</v>
      </c>
      <c r="BC198" t="s">
        <v>16</v>
      </c>
      <c r="BD198" t="s">
        <v>3707</v>
      </c>
      <c r="BE198" t="s">
        <v>3708</v>
      </c>
      <c r="BF198" t="str">
        <f>HYPERLINK("http://dx.doi.org/10.1371/journal.pone.0243666","http://dx.doi.org/10.1371/journal.pone.0243666")</f>
        <v>http://dx.doi.org/10.1371/journal.pone.0243666</v>
      </c>
      <c r="BG198" t="s">
        <v>16</v>
      </c>
      <c r="BH198" t="s">
        <v>16</v>
      </c>
      <c r="BI198">
        <v>12</v>
      </c>
      <c r="BJ198" t="s">
        <v>296</v>
      </c>
      <c r="BK198" t="s">
        <v>73</v>
      </c>
      <c r="BL198" t="s">
        <v>297</v>
      </c>
      <c r="BM198" t="s">
        <v>3709</v>
      </c>
      <c r="BN198">
        <v>33400704</v>
      </c>
      <c r="BO198" t="s">
        <v>216</v>
      </c>
      <c r="BP198" t="s">
        <v>16</v>
      </c>
      <c r="BQ198" t="s">
        <v>16</v>
      </c>
      <c r="BR198" t="s">
        <v>44</v>
      </c>
      <c r="BS198" t="s">
        <v>3710</v>
      </c>
      <c r="BT198" t="str">
        <f>HYPERLINK("https%3A%2F%2Fwww.webofscience.com%2Fwos%2Fwoscc%2Ffull-record%2FWOS:000607070700007","View Full Record in Web of Science")</f>
        <v>View Full Record in Web of Science</v>
      </c>
    </row>
    <row r="199" spans="1:72" x14ac:dyDescent="0.2">
      <c r="A199" t="s">
        <v>46</v>
      </c>
      <c r="B199" t="s">
        <v>3711</v>
      </c>
      <c r="C199" t="s">
        <v>16</v>
      </c>
      <c r="D199" t="s">
        <v>16</v>
      </c>
      <c r="E199" t="s">
        <v>16</v>
      </c>
      <c r="F199" t="s">
        <v>3712</v>
      </c>
      <c r="G199" t="s">
        <v>16</v>
      </c>
      <c r="H199" t="s">
        <v>16</v>
      </c>
      <c r="I199" t="s">
        <v>3713</v>
      </c>
      <c r="J199" t="s">
        <v>3714</v>
      </c>
      <c r="K199" t="s">
        <v>16</v>
      </c>
      <c r="L199" t="s">
        <v>16</v>
      </c>
      <c r="M199" t="s">
        <v>22</v>
      </c>
      <c r="N199" t="s">
        <v>51</v>
      </c>
      <c r="O199" t="s">
        <v>16</v>
      </c>
      <c r="P199" t="s">
        <v>16</v>
      </c>
      <c r="Q199" t="s">
        <v>16</v>
      </c>
      <c r="R199" t="s">
        <v>16</v>
      </c>
      <c r="S199" t="s">
        <v>16</v>
      </c>
      <c r="T199" t="s">
        <v>16</v>
      </c>
      <c r="U199" t="s">
        <v>3715</v>
      </c>
      <c r="V199" t="s">
        <v>3716</v>
      </c>
      <c r="W199" t="s">
        <v>3717</v>
      </c>
      <c r="X199" t="s">
        <v>948</v>
      </c>
      <c r="Y199" t="s">
        <v>949</v>
      </c>
      <c r="Z199" t="s">
        <v>950</v>
      </c>
      <c r="AA199" t="s">
        <v>16</v>
      </c>
      <c r="AB199" t="s">
        <v>3718</v>
      </c>
      <c r="AC199" t="s">
        <v>3719</v>
      </c>
      <c r="AD199" t="s">
        <v>3720</v>
      </c>
      <c r="AE199" t="s">
        <v>3721</v>
      </c>
      <c r="AF199" t="s">
        <v>16</v>
      </c>
      <c r="AG199">
        <v>36</v>
      </c>
      <c r="AH199">
        <v>14</v>
      </c>
      <c r="AI199">
        <v>14</v>
      </c>
      <c r="AJ199">
        <v>0</v>
      </c>
      <c r="AK199">
        <v>6</v>
      </c>
      <c r="AL199" t="s">
        <v>63</v>
      </c>
      <c r="AM199" t="s">
        <v>64</v>
      </c>
      <c r="AN199" t="s">
        <v>65</v>
      </c>
      <c r="AO199" t="s">
        <v>16</v>
      </c>
      <c r="AP199" t="s">
        <v>3722</v>
      </c>
      <c r="AQ199" t="s">
        <v>16</v>
      </c>
      <c r="AR199" t="s">
        <v>3723</v>
      </c>
      <c r="AS199" t="s">
        <v>3724</v>
      </c>
      <c r="AT199" t="s">
        <v>1138</v>
      </c>
      <c r="AU199">
        <v>2019</v>
      </c>
      <c r="AV199">
        <v>12</v>
      </c>
      <c r="AW199">
        <v>2</v>
      </c>
      <c r="AX199" t="s">
        <v>16</v>
      </c>
      <c r="AY199" t="s">
        <v>16</v>
      </c>
      <c r="AZ199" t="s">
        <v>16</v>
      </c>
      <c r="BA199" t="s">
        <v>16</v>
      </c>
      <c r="BB199" t="s">
        <v>16</v>
      </c>
      <c r="BC199" t="s">
        <v>16</v>
      </c>
      <c r="BD199">
        <v>180082</v>
      </c>
      <c r="BE199" t="s">
        <v>3725</v>
      </c>
      <c r="BF199" t="str">
        <f>HYPERLINK("http://dx.doi.org/10.3835/plantgenome2018.10.0082","http://dx.doi.org/10.3835/plantgenome2018.10.0082")</f>
        <v>http://dx.doi.org/10.3835/plantgenome2018.10.0082</v>
      </c>
      <c r="BG199" t="s">
        <v>16</v>
      </c>
      <c r="BH199" t="s">
        <v>16</v>
      </c>
      <c r="BI199">
        <v>11</v>
      </c>
      <c r="BJ199" t="s">
        <v>296</v>
      </c>
      <c r="BK199" t="s">
        <v>73</v>
      </c>
      <c r="BL199" t="s">
        <v>3726</v>
      </c>
      <c r="BM199" t="s">
        <v>3727</v>
      </c>
      <c r="BN199">
        <v>31290920</v>
      </c>
      <c r="BO199" t="s">
        <v>552</v>
      </c>
      <c r="BP199" t="s">
        <v>16</v>
      </c>
      <c r="BQ199" t="s">
        <v>16</v>
      </c>
      <c r="BR199" t="s">
        <v>44</v>
      </c>
      <c r="BS199" t="s">
        <v>3728</v>
      </c>
      <c r="BT199" t="str">
        <f>HYPERLINK("https%3A%2F%2Fwww.webofscience.com%2Fwos%2Fwoscc%2Ffull-record%2FWOS:000473166300009","View Full Record in Web of Science")</f>
        <v>View Full Record in Web of Science</v>
      </c>
    </row>
    <row r="200" spans="1:72" x14ac:dyDescent="0.2">
      <c r="A200" t="s">
        <v>46</v>
      </c>
      <c r="B200" t="s">
        <v>3729</v>
      </c>
      <c r="C200" t="s">
        <v>16</v>
      </c>
      <c r="D200" t="s">
        <v>16</v>
      </c>
      <c r="E200" t="s">
        <v>16</v>
      </c>
      <c r="F200" t="s">
        <v>3730</v>
      </c>
      <c r="G200" t="s">
        <v>16</v>
      </c>
      <c r="H200" t="s">
        <v>16</v>
      </c>
      <c r="I200" t="s">
        <v>3731</v>
      </c>
      <c r="J200" t="s">
        <v>651</v>
      </c>
      <c r="K200" t="s">
        <v>16</v>
      </c>
      <c r="L200" t="s">
        <v>16</v>
      </c>
      <c r="M200" t="s">
        <v>22</v>
      </c>
      <c r="N200" t="s">
        <v>51</v>
      </c>
      <c r="O200" t="s">
        <v>16</v>
      </c>
      <c r="P200" t="s">
        <v>16</v>
      </c>
      <c r="Q200" t="s">
        <v>16</v>
      </c>
      <c r="R200" t="s">
        <v>16</v>
      </c>
      <c r="S200" t="s">
        <v>16</v>
      </c>
      <c r="T200" t="s">
        <v>3732</v>
      </c>
      <c r="U200" t="s">
        <v>3733</v>
      </c>
      <c r="V200" t="s">
        <v>3734</v>
      </c>
      <c r="W200" t="s">
        <v>3735</v>
      </c>
      <c r="X200" t="s">
        <v>3736</v>
      </c>
      <c r="Y200" t="s">
        <v>2226</v>
      </c>
      <c r="Z200" t="s">
        <v>714</v>
      </c>
      <c r="AA200" t="s">
        <v>3737</v>
      </c>
      <c r="AB200" t="s">
        <v>3738</v>
      </c>
      <c r="AC200" t="s">
        <v>3739</v>
      </c>
      <c r="AD200" t="s">
        <v>3740</v>
      </c>
      <c r="AE200" t="s">
        <v>3741</v>
      </c>
      <c r="AF200" t="s">
        <v>16</v>
      </c>
      <c r="AG200">
        <v>45</v>
      </c>
      <c r="AH200">
        <v>123</v>
      </c>
      <c r="AI200">
        <v>131</v>
      </c>
      <c r="AJ200">
        <v>2</v>
      </c>
      <c r="AK200">
        <v>55</v>
      </c>
      <c r="AL200" t="s">
        <v>638</v>
      </c>
      <c r="AM200" t="s">
        <v>639</v>
      </c>
      <c r="AN200" t="s">
        <v>640</v>
      </c>
      <c r="AO200" t="s">
        <v>661</v>
      </c>
      <c r="AP200" t="s">
        <v>642</v>
      </c>
      <c r="AQ200" t="s">
        <v>16</v>
      </c>
      <c r="AR200" t="s">
        <v>662</v>
      </c>
      <c r="AS200" t="s">
        <v>663</v>
      </c>
      <c r="AT200" t="s">
        <v>16</v>
      </c>
      <c r="AU200">
        <v>2014</v>
      </c>
      <c r="AV200">
        <v>65</v>
      </c>
      <c r="AW200">
        <v>7</v>
      </c>
      <c r="AX200" t="s">
        <v>16</v>
      </c>
      <c r="AY200" t="s">
        <v>16</v>
      </c>
      <c r="AZ200" t="s">
        <v>188</v>
      </c>
      <c r="BA200" t="s">
        <v>16</v>
      </c>
      <c r="BB200">
        <v>614</v>
      </c>
      <c r="BC200">
        <v>626</v>
      </c>
      <c r="BD200" t="s">
        <v>16</v>
      </c>
      <c r="BE200" t="s">
        <v>3742</v>
      </c>
      <c r="BF200" t="str">
        <f>HYPERLINK("http://dx.doi.org/10.1071/CP14088","http://dx.doi.org/10.1071/CP14088")</f>
        <v>http://dx.doi.org/10.1071/CP14088</v>
      </c>
      <c r="BG200" t="s">
        <v>16</v>
      </c>
      <c r="BH200" t="s">
        <v>16</v>
      </c>
      <c r="BI200">
        <v>13</v>
      </c>
      <c r="BJ200" t="s">
        <v>296</v>
      </c>
      <c r="BK200" t="s">
        <v>73</v>
      </c>
      <c r="BL200" t="s">
        <v>42</v>
      </c>
      <c r="BM200" t="s">
        <v>3743</v>
      </c>
      <c r="BN200" t="s">
        <v>16</v>
      </c>
      <c r="BO200" t="s">
        <v>2307</v>
      </c>
      <c r="BP200" t="s">
        <v>16</v>
      </c>
      <c r="BQ200" t="s">
        <v>16</v>
      </c>
      <c r="BR200" t="s">
        <v>44</v>
      </c>
      <c r="BS200" t="s">
        <v>3744</v>
      </c>
      <c r="BT200" t="str">
        <f>HYPERLINK("https%3A%2F%2Fwww.webofscience.com%2Fwos%2Fwoscc%2Ffull-record%2FWOS:000341589100004","View Full Record in Web of Science")</f>
        <v>View Full Record in Web of Science</v>
      </c>
    </row>
    <row r="201" spans="1:72" x14ac:dyDescent="0.2">
      <c r="A201" t="s">
        <v>46</v>
      </c>
      <c r="B201" t="s">
        <v>3745</v>
      </c>
      <c r="C201" t="s">
        <v>16</v>
      </c>
      <c r="D201" t="s">
        <v>16</v>
      </c>
      <c r="E201" t="s">
        <v>16</v>
      </c>
      <c r="F201" t="s">
        <v>3746</v>
      </c>
      <c r="G201" t="s">
        <v>16</v>
      </c>
      <c r="H201" t="s">
        <v>16</v>
      </c>
      <c r="I201" t="s">
        <v>3747</v>
      </c>
      <c r="J201" t="s">
        <v>3748</v>
      </c>
      <c r="K201" t="s">
        <v>16</v>
      </c>
      <c r="L201" t="s">
        <v>16</v>
      </c>
      <c r="M201" t="s">
        <v>22</v>
      </c>
      <c r="N201" t="s">
        <v>51</v>
      </c>
      <c r="O201" t="s">
        <v>16</v>
      </c>
      <c r="P201" t="s">
        <v>16</v>
      </c>
      <c r="Q201" t="s">
        <v>16</v>
      </c>
      <c r="R201" t="s">
        <v>16</v>
      </c>
      <c r="S201" t="s">
        <v>16</v>
      </c>
      <c r="T201" t="s">
        <v>3749</v>
      </c>
      <c r="U201" t="s">
        <v>16</v>
      </c>
      <c r="V201" t="s">
        <v>3750</v>
      </c>
      <c r="W201" t="s">
        <v>3751</v>
      </c>
      <c r="X201" t="s">
        <v>3752</v>
      </c>
      <c r="Y201" t="s">
        <v>3753</v>
      </c>
      <c r="Z201" t="s">
        <v>3754</v>
      </c>
      <c r="AA201" t="s">
        <v>3755</v>
      </c>
      <c r="AB201" t="s">
        <v>3756</v>
      </c>
      <c r="AC201" t="s">
        <v>3757</v>
      </c>
      <c r="AD201" t="s">
        <v>3757</v>
      </c>
      <c r="AE201" t="s">
        <v>3758</v>
      </c>
      <c r="AF201" t="s">
        <v>16</v>
      </c>
      <c r="AG201">
        <v>20</v>
      </c>
      <c r="AH201">
        <v>0</v>
      </c>
      <c r="AI201">
        <v>0</v>
      </c>
      <c r="AJ201">
        <v>0</v>
      </c>
      <c r="AK201">
        <v>0</v>
      </c>
      <c r="AL201" t="s">
        <v>3759</v>
      </c>
      <c r="AM201" t="s">
        <v>2342</v>
      </c>
      <c r="AN201" t="s">
        <v>3760</v>
      </c>
      <c r="AO201" t="s">
        <v>3761</v>
      </c>
      <c r="AP201" t="s">
        <v>3762</v>
      </c>
      <c r="AQ201" t="s">
        <v>16</v>
      </c>
      <c r="AR201" t="s">
        <v>3763</v>
      </c>
      <c r="AS201" t="s">
        <v>3764</v>
      </c>
      <c r="AT201" t="s">
        <v>70</v>
      </c>
      <c r="AU201">
        <v>2024</v>
      </c>
      <c r="AV201">
        <v>28</v>
      </c>
      <c r="AW201">
        <v>1</v>
      </c>
      <c r="AX201" t="s">
        <v>16</v>
      </c>
      <c r="AY201" t="s">
        <v>16</v>
      </c>
      <c r="AZ201" t="s">
        <v>16</v>
      </c>
      <c r="BA201" t="s">
        <v>16</v>
      </c>
      <c r="BB201">
        <v>59</v>
      </c>
      <c r="BC201">
        <v>66</v>
      </c>
      <c r="BD201" t="s">
        <v>16</v>
      </c>
      <c r="BE201" t="s">
        <v>3765</v>
      </c>
      <c r="BF201" t="str">
        <f>HYPERLINK("http://dx.doi.org/10.20965/jaciii.2024.p0059","http://dx.doi.org/10.20965/jaciii.2024.p0059")</f>
        <v>http://dx.doi.org/10.20965/jaciii.2024.p0059</v>
      </c>
      <c r="BG201" t="s">
        <v>16</v>
      </c>
      <c r="BH201" t="s">
        <v>16</v>
      </c>
      <c r="BI201">
        <v>8</v>
      </c>
      <c r="BJ201" t="s">
        <v>443</v>
      </c>
      <c r="BK201" t="s">
        <v>603</v>
      </c>
      <c r="BL201" t="s">
        <v>445</v>
      </c>
      <c r="BM201" t="s">
        <v>3766</v>
      </c>
      <c r="BN201" t="s">
        <v>16</v>
      </c>
      <c r="BO201" t="s">
        <v>552</v>
      </c>
      <c r="BP201" t="s">
        <v>16</v>
      </c>
      <c r="BQ201" t="s">
        <v>16</v>
      </c>
      <c r="BR201" t="s">
        <v>44</v>
      </c>
      <c r="BS201" t="s">
        <v>3767</v>
      </c>
      <c r="BT201" t="str">
        <f>HYPERLINK("https%3A%2F%2Fwww.webofscience.com%2Fwos%2Fwoscc%2Ffull-record%2FWOS:001166145500013","View Full Record in Web of Science")</f>
        <v>View Full Record in Web of Science</v>
      </c>
    </row>
    <row r="202" spans="1:72" x14ac:dyDescent="0.2">
      <c r="A202" t="s">
        <v>46</v>
      </c>
      <c r="B202" t="s">
        <v>3768</v>
      </c>
      <c r="C202" t="s">
        <v>16</v>
      </c>
      <c r="D202" t="s">
        <v>16</v>
      </c>
      <c r="E202" t="s">
        <v>16</v>
      </c>
      <c r="F202" t="s">
        <v>3769</v>
      </c>
      <c r="G202" t="s">
        <v>16</v>
      </c>
      <c r="H202" t="s">
        <v>16</v>
      </c>
      <c r="I202" t="s">
        <v>3770</v>
      </c>
      <c r="J202" t="s">
        <v>3771</v>
      </c>
      <c r="K202" t="s">
        <v>16</v>
      </c>
      <c r="L202" t="s">
        <v>16</v>
      </c>
      <c r="M202" t="s">
        <v>22</v>
      </c>
      <c r="N202" t="s">
        <v>51</v>
      </c>
      <c r="O202" t="s">
        <v>16</v>
      </c>
      <c r="P202" t="s">
        <v>16</v>
      </c>
      <c r="Q202" t="s">
        <v>16</v>
      </c>
      <c r="R202" t="s">
        <v>16</v>
      </c>
      <c r="S202" t="s">
        <v>16</v>
      </c>
      <c r="T202" t="s">
        <v>3772</v>
      </c>
      <c r="U202" t="s">
        <v>3773</v>
      </c>
      <c r="V202" t="s">
        <v>3774</v>
      </c>
      <c r="W202" t="s">
        <v>3775</v>
      </c>
      <c r="X202" t="s">
        <v>3776</v>
      </c>
      <c r="Y202" t="s">
        <v>3777</v>
      </c>
      <c r="Z202" t="s">
        <v>3778</v>
      </c>
      <c r="AA202" t="s">
        <v>3779</v>
      </c>
      <c r="AB202" t="s">
        <v>3780</v>
      </c>
      <c r="AC202" t="s">
        <v>3781</v>
      </c>
      <c r="AD202" t="s">
        <v>3782</v>
      </c>
      <c r="AE202" t="s">
        <v>3783</v>
      </c>
      <c r="AF202" t="s">
        <v>16</v>
      </c>
      <c r="AG202">
        <v>45</v>
      </c>
      <c r="AH202">
        <v>10</v>
      </c>
      <c r="AI202">
        <v>14</v>
      </c>
      <c r="AJ202">
        <v>5</v>
      </c>
      <c r="AK202">
        <v>30</v>
      </c>
      <c r="AL202" t="s">
        <v>808</v>
      </c>
      <c r="AM202" t="s">
        <v>161</v>
      </c>
      <c r="AN202" t="s">
        <v>809</v>
      </c>
      <c r="AO202" t="s">
        <v>16</v>
      </c>
      <c r="AP202" t="s">
        <v>3784</v>
      </c>
      <c r="AQ202" t="s">
        <v>16</v>
      </c>
      <c r="AR202" t="s">
        <v>3771</v>
      </c>
      <c r="AS202" t="s">
        <v>3785</v>
      </c>
      <c r="AT202" t="s">
        <v>135</v>
      </c>
      <c r="AU202">
        <v>2022</v>
      </c>
      <c r="AV202">
        <v>11</v>
      </c>
      <c r="AW202">
        <v>11</v>
      </c>
      <c r="AX202" t="s">
        <v>16</v>
      </c>
      <c r="AY202" t="s">
        <v>16</v>
      </c>
      <c r="AZ202" t="s">
        <v>16</v>
      </c>
      <c r="BA202" t="s">
        <v>16</v>
      </c>
      <c r="BB202" t="s">
        <v>16</v>
      </c>
      <c r="BC202" t="s">
        <v>16</v>
      </c>
      <c r="BD202">
        <v>1647</v>
      </c>
      <c r="BE202" t="s">
        <v>3786</v>
      </c>
      <c r="BF202" t="str">
        <f>HYPERLINK("http://dx.doi.org/10.3390/biology11111647","http://dx.doi.org/10.3390/biology11111647")</f>
        <v>http://dx.doi.org/10.3390/biology11111647</v>
      </c>
      <c r="BG202" t="s">
        <v>16</v>
      </c>
      <c r="BH202" t="s">
        <v>16</v>
      </c>
      <c r="BI202">
        <v>13</v>
      </c>
      <c r="BJ202" t="s">
        <v>3787</v>
      </c>
      <c r="BK202" t="s">
        <v>73</v>
      </c>
      <c r="BL202" t="s">
        <v>3788</v>
      </c>
      <c r="BM202" t="s">
        <v>3789</v>
      </c>
      <c r="BN202">
        <v>36421361</v>
      </c>
      <c r="BO202" t="s">
        <v>511</v>
      </c>
      <c r="BP202" t="s">
        <v>16</v>
      </c>
      <c r="BQ202" t="s">
        <v>16</v>
      </c>
      <c r="BR202" t="s">
        <v>44</v>
      </c>
      <c r="BS202" t="s">
        <v>3790</v>
      </c>
      <c r="BT202" t="str">
        <f>HYPERLINK("https%3A%2F%2Fwww.webofscience.com%2Fwos%2Fwoscc%2Ffull-record%2FWOS:000895306800001","View Full Record in Web of Science")</f>
        <v>View Full Record in Web of Science</v>
      </c>
    </row>
    <row r="203" spans="1:72" x14ac:dyDescent="0.2">
      <c r="A203" t="s">
        <v>46</v>
      </c>
      <c r="B203" t="s">
        <v>3791</v>
      </c>
      <c r="C203" t="s">
        <v>16</v>
      </c>
      <c r="D203" t="s">
        <v>16</v>
      </c>
      <c r="E203" t="s">
        <v>16</v>
      </c>
      <c r="F203" t="s">
        <v>3792</v>
      </c>
      <c r="G203" t="s">
        <v>16</v>
      </c>
      <c r="H203" t="s">
        <v>16</v>
      </c>
      <c r="I203" t="s">
        <v>3793</v>
      </c>
      <c r="J203" t="s">
        <v>3794</v>
      </c>
      <c r="K203" t="s">
        <v>16</v>
      </c>
      <c r="L203" t="s">
        <v>16</v>
      </c>
      <c r="M203" t="s">
        <v>22</v>
      </c>
      <c r="N203" t="s">
        <v>51</v>
      </c>
      <c r="O203" t="s">
        <v>16</v>
      </c>
      <c r="P203" t="s">
        <v>16</v>
      </c>
      <c r="Q203" t="s">
        <v>16</v>
      </c>
      <c r="R203" t="s">
        <v>16</v>
      </c>
      <c r="S203" t="s">
        <v>16</v>
      </c>
      <c r="T203" t="s">
        <v>3795</v>
      </c>
      <c r="U203" t="s">
        <v>3796</v>
      </c>
      <c r="V203" t="s">
        <v>3797</v>
      </c>
      <c r="W203" t="s">
        <v>3798</v>
      </c>
      <c r="X203" t="s">
        <v>3799</v>
      </c>
      <c r="Y203" t="s">
        <v>3800</v>
      </c>
      <c r="Z203" t="s">
        <v>3801</v>
      </c>
      <c r="AA203" t="s">
        <v>3802</v>
      </c>
      <c r="AB203" t="s">
        <v>3803</v>
      </c>
      <c r="AC203" t="s">
        <v>3804</v>
      </c>
      <c r="AD203" t="s">
        <v>3804</v>
      </c>
      <c r="AE203" t="s">
        <v>3805</v>
      </c>
      <c r="AF203" t="s">
        <v>16</v>
      </c>
      <c r="AG203">
        <v>53</v>
      </c>
      <c r="AH203">
        <v>1</v>
      </c>
      <c r="AI203">
        <v>1</v>
      </c>
      <c r="AJ203">
        <v>0</v>
      </c>
      <c r="AK203">
        <v>15</v>
      </c>
      <c r="AL203" t="s">
        <v>3806</v>
      </c>
      <c r="AM203" t="s">
        <v>3807</v>
      </c>
      <c r="AN203" t="s">
        <v>3808</v>
      </c>
      <c r="AO203" t="s">
        <v>3809</v>
      </c>
      <c r="AP203" t="s">
        <v>3810</v>
      </c>
      <c r="AQ203" t="s">
        <v>16</v>
      </c>
      <c r="AR203" t="s">
        <v>3811</v>
      </c>
      <c r="AS203" t="s">
        <v>3812</v>
      </c>
      <c r="AT203" t="s">
        <v>16</v>
      </c>
      <c r="AU203">
        <v>2018</v>
      </c>
      <c r="AV203">
        <v>68</v>
      </c>
      <c r="AW203">
        <v>3</v>
      </c>
      <c r="AX203" t="s">
        <v>16</v>
      </c>
      <c r="AY203" t="s">
        <v>16</v>
      </c>
      <c r="AZ203" t="s">
        <v>16</v>
      </c>
      <c r="BA203" t="s">
        <v>16</v>
      </c>
      <c r="BB203">
        <v>230</v>
      </c>
      <c r="BC203">
        <v>242</v>
      </c>
      <c r="BD203" t="s">
        <v>16</v>
      </c>
      <c r="BE203" t="s">
        <v>3813</v>
      </c>
      <c r="BF203" t="str">
        <f>HYPERLINK("http://dx.doi.org/10.1080/09064710.2017.1385835","http://dx.doi.org/10.1080/09064710.2017.1385835")</f>
        <v>http://dx.doi.org/10.1080/09064710.2017.1385835</v>
      </c>
      <c r="BG203" t="s">
        <v>16</v>
      </c>
      <c r="BH203" t="s">
        <v>16</v>
      </c>
      <c r="BI203">
        <v>13</v>
      </c>
      <c r="BJ203" t="s">
        <v>296</v>
      </c>
      <c r="BK203" t="s">
        <v>73</v>
      </c>
      <c r="BL203" t="s">
        <v>42</v>
      </c>
      <c r="BM203" t="s">
        <v>3814</v>
      </c>
      <c r="BN203" t="s">
        <v>16</v>
      </c>
      <c r="BO203" t="s">
        <v>16</v>
      </c>
      <c r="BP203" t="s">
        <v>16</v>
      </c>
      <c r="BQ203" t="s">
        <v>16</v>
      </c>
      <c r="BR203" t="s">
        <v>44</v>
      </c>
      <c r="BS203" t="s">
        <v>3815</v>
      </c>
      <c r="BT203" t="str">
        <f>HYPERLINK("https%3A%2F%2Fwww.webofscience.com%2Fwos%2Fwoscc%2Ffull-record%2FWOS:000427196000005","View Full Record in Web of Science")</f>
        <v>View Full Record in Web of Science</v>
      </c>
    </row>
    <row r="204" spans="1:72" x14ac:dyDescent="0.2">
      <c r="A204" t="s">
        <v>46</v>
      </c>
      <c r="B204" t="s">
        <v>3816</v>
      </c>
      <c r="C204" t="s">
        <v>16</v>
      </c>
      <c r="D204" t="s">
        <v>16</v>
      </c>
      <c r="E204" t="s">
        <v>16</v>
      </c>
      <c r="F204" t="s">
        <v>3817</v>
      </c>
      <c r="G204" t="s">
        <v>16</v>
      </c>
      <c r="H204" t="s">
        <v>16</v>
      </c>
      <c r="I204" t="s">
        <v>3818</v>
      </c>
      <c r="J204" t="s">
        <v>1541</v>
      </c>
      <c r="K204" t="s">
        <v>16</v>
      </c>
      <c r="L204" t="s">
        <v>16</v>
      </c>
      <c r="M204" t="s">
        <v>22</v>
      </c>
      <c r="N204" t="s">
        <v>51</v>
      </c>
      <c r="O204" t="s">
        <v>16</v>
      </c>
      <c r="P204" t="s">
        <v>16</v>
      </c>
      <c r="Q204" t="s">
        <v>16</v>
      </c>
      <c r="R204" t="s">
        <v>16</v>
      </c>
      <c r="S204" t="s">
        <v>16</v>
      </c>
      <c r="T204" t="s">
        <v>16</v>
      </c>
      <c r="U204" t="s">
        <v>3819</v>
      </c>
      <c r="V204" t="s">
        <v>3820</v>
      </c>
      <c r="W204" t="s">
        <v>3821</v>
      </c>
      <c r="X204" t="s">
        <v>3822</v>
      </c>
      <c r="Y204" t="s">
        <v>3823</v>
      </c>
      <c r="Z204" t="s">
        <v>3824</v>
      </c>
      <c r="AA204" t="s">
        <v>3825</v>
      </c>
      <c r="AB204" t="s">
        <v>16</v>
      </c>
      <c r="AC204" t="s">
        <v>3826</v>
      </c>
      <c r="AD204" t="s">
        <v>3827</v>
      </c>
      <c r="AE204" t="s">
        <v>3828</v>
      </c>
      <c r="AF204" t="s">
        <v>16</v>
      </c>
      <c r="AG204">
        <v>26</v>
      </c>
      <c r="AH204">
        <v>6</v>
      </c>
      <c r="AI204">
        <v>7</v>
      </c>
      <c r="AJ204">
        <v>0</v>
      </c>
      <c r="AK204">
        <v>13</v>
      </c>
      <c r="AL204" t="s">
        <v>1553</v>
      </c>
      <c r="AM204" t="s">
        <v>1554</v>
      </c>
      <c r="AN204" t="s">
        <v>1555</v>
      </c>
      <c r="AO204" t="s">
        <v>1556</v>
      </c>
      <c r="AP204" t="s">
        <v>16</v>
      </c>
      <c r="AQ204" t="s">
        <v>16</v>
      </c>
      <c r="AR204" t="s">
        <v>1541</v>
      </c>
      <c r="AS204" t="s">
        <v>1557</v>
      </c>
      <c r="AT204" t="s">
        <v>3829</v>
      </c>
      <c r="AU204">
        <v>2017</v>
      </c>
      <c r="AV204">
        <v>12</v>
      </c>
      <c r="AW204">
        <v>4</v>
      </c>
      <c r="AX204" t="s">
        <v>16</v>
      </c>
      <c r="AY204" t="s">
        <v>16</v>
      </c>
      <c r="AZ204" t="s">
        <v>16</v>
      </c>
      <c r="BA204" t="s">
        <v>16</v>
      </c>
      <c r="BB204" t="s">
        <v>16</v>
      </c>
      <c r="BC204" t="s">
        <v>16</v>
      </c>
      <c r="BD204" t="s">
        <v>3830</v>
      </c>
      <c r="BE204" t="s">
        <v>3831</v>
      </c>
      <c r="BF204" t="str">
        <f>HYPERLINK("http://dx.doi.org/10.1371/journal.pone.0175448","http://dx.doi.org/10.1371/journal.pone.0175448")</f>
        <v>http://dx.doi.org/10.1371/journal.pone.0175448</v>
      </c>
      <c r="BG204" t="s">
        <v>16</v>
      </c>
      <c r="BH204" t="s">
        <v>16</v>
      </c>
      <c r="BI204">
        <v>18</v>
      </c>
      <c r="BJ204" t="s">
        <v>296</v>
      </c>
      <c r="BK204" t="s">
        <v>73</v>
      </c>
      <c r="BL204" t="s">
        <v>297</v>
      </c>
      <c r="BM204" t="s">
        <v>3832</v>
      </c>
      <c r="BN204">
        <v>28410429</v>
      </c>
      <c r="BO204" t="s">
        <v>511</v>
      </c>
      <c r="BP204" t="s">
        <v>16</v>
      </c>
      <c r="BQ204" t="s">
        <v>16</v>
      </c>
      <c r="BR204" t="s">
        <v>44</v>
      </c>
      <c r="BS204" t="s">
        <v>3833</v>
      </c>
      <c r="BT204" t="str">
        <f>HYPERLINK("https%3A%2F%2Fwww.webofscience.com%2Fwos%2Fwoscc%2Ffull-record%2FWOS:000399955600019","View Full Record in Web of Science")</f>
        <v>View Full Record in Web of Science</v>
      </c>
    </row>
    <row r="205" spans="1:72" x14ac:dyDescent="0.2">
      <c r="A205" t="s">
        <v>46</v>
      </c>
      <c r="B205" t="s">
        <v>3834</v>
      </c>
      <c r="C205" t="s">
        <v>16</v>
      </c>
      <c r="D205" t="s">
        <v>16</v>
      </c>
      <c r="E205" t="s">
        <v>16</v>
      </c>
      <c r="F205" t="s">
        <v>3834</v>
      </c>
      <c r="G205" t="s">
        <v>16</v>
      </c>
      <c r="H205" t="s">
        <v>16</v>
      </c>
      <c r="I205" t="s">
        <v>3835</v>
      </c>
      <c r="J205" t="s">
        <v>3539</v>
      </c>
      <c r="K205" t="s">
        <v>16</v>
      </c>
      <c r="L205" t="s">
        <v>16</v>
      </c>
      <c r="M205" t="s">
        <v>22</v>
      </c>
      <c r="N205" t="s">
        <v>428</v>
      </c>
      <c r="O205" t="s">
        <v>3836</v>
      </c>
      <c r="P205" t="s">
        <v>3837</v>
      </c>
      <c r="Q205" t="s">
        <v>3838</v>
      </c>
      <c r="R205" t="s">
        <v>3839</v>
      </c>
      <c r="S205" t="s">
        <v>16</v>
      </c>
      <c r="T205" t="s">
        <v>3840</v>
      </c>
      <c r="U205" t="s">
        <v>3841</v>
      </c>
      <c r="V205" t="s">
        <v>3842</v>
      </c>
      <c r="W205" t="s">
        <v>3843</v>
      </c>
      <c r="X205" t="s">
        <v>3844</v>
      </c>
      <c r="Y205" t="s">
        <v>2873</v>
      </c>
      <c r="Z205" t="s">
        <v>1245</v>
      </c>
      <c r="AA205" t="s">
        <v>3166</v>
      </c>
      <c r="AB205" t="s">
        <v>3845</v>
      </c>
      <c r="AC205" t="s">
        <v>16</v>
      </c>
      <c r="AD205" t="s">
        <v>16</v>
      </c>
      <c r="AE205" t="s">
        <v>16</v>
      </c>
      <c r="AF205" t="s">
        <v>16</v>
      </c>
      <c r="AG205">
        <v>69</v>
      </c>
      <c r="AH205">
        <v>99</v>
      </c>
      <c r="AI205">
        <v>118</v>
      </c>
      <c r="AJ205">
        <v>1</v>
      </c>
      <c r="AK205">
        <v>33</v>
      </c>
      <c r="AL205" t="s">
        <v>569</v>
      </c>
      <c r="AM205" t="s">
        <v>570</v>
      </c>
      <c r="AN205" t="s">
        <v>571</v>
      </c>
      <c r="AO205" t="s">
        <v>3547</v>
      </c>
      <c r="AP205" t="s">
        <v>3548</v>
      </c>
      <c r="AQ205" t="s">
        <v>16</v>
      </c>
      <c r="AR205" t="s">
        <v>3549</v>
      </c>
      <c r="AS205" t="s">
        <v>3550</v>
      </c>
      <c r="AT205" t="s">
        <v>3846</v>
      </c>
      <c r="AU205">
        <v>2004</v>
      </c>
      <c r="AV205">
        <v>90</v>
      </c>
      <c r="AW205">
        <v>1</v>
      </c>
      <c r="AX205" t="s">
        <v>16</v>
      </c>
      <c r="AY205" t="s">
        <v>16</v>
      </c>
      <c r="AZ205" t="s">
        <v>16</v>
      </c>
      <c r="BA205" t="s">
        <v>16</v>
      </c>
      <c r="BB205">
        <v>145</v>
      </c>
      <c r="BC205">
        <v>163</v>
      </c>
      <c r="BD205" t="s">
        <v>16</v>
      </c>
      <c r="BE205" t="s">
        <v>3847</v>
      </c>
      <c r="BF205" t="str">
        <f>HYPERLINK("http://dx.doi.org/10.1016/j.fcr.2004.07.014","http://dx.doi.org/10.1016/j.fcr.2004.07.014")</f>
        <v>http://dx.doi.org/10.1016/j.fcr.2004.07.014</v>
      </c>
      <c r="BG205" t="s">
        <v>16</v>
      </c>
      <c r="BH205" t="s">
        <v>16</v>
      </c>
      <c r="BI205">
        <v>19</v>
      </c>
      <c r="BJ205" t="s">
        <v>40</v>
      </c>
      <c r="BK205" t="s">
        <v>1827</v>
      </c>
      <c r="BL205" t="s">
        <v>42</v>
      </c>
      <c r="BM205" t="s">
        <v>3848</v>
      </c>
      <c r="BN205" t="s">
        <v>16</v>
      </c>
      <c r="BO205" t="s">
        <v>16</v>
      </c>
      <c r="BP205" t="s">
        <v>16</v>
      </c>
      <c r="BQ205" t="s">
        <v>16</v>
      </c>
      <c r="BR205" t="s">
        <v>44</v>
      </c>
      <c r="BS205" t="s">
        <v>3849</v>
      </c>
      <c r="BT205" t="str">
        <f>HYPERLINK("https%3A%2F%2Fwww.webofscience.com%2Fwos%2Fwoscc%2Ffull-record%2FWOS:000224357900012","View Full Record in Web of Science")</f>
        <v>View Full Record in Web of Science</v>
      </c>
    </row>
    <row r="206" spans="1:72" x14ac:dyDescent="0.2">
      <c r="A206" t="s">
        <v>46</v>
      </c>
      <c r="B206" t="s">
        <v>3850</v>
      </c>
      <c r="C206" t="s">
        <v>16</v>
      </c>
      <c r="D206" t="s">
        <v>16</v>
      </c>
      <c r="E206" t="s">
        <v>16</v>
      </c>
      <c r="F206" t="s">
        <v>3851</v>
      </c>
      <c r="G206" t="s">
        <v>16</v>
      </c>
      <c r="H206" t="s">
        <v>16</v>
      </c>
      <c r="I206" t="s">
        <v>3852</v>
      </c>
      <c r="J206" t="s">
        <v>50</v>
      </c>
      <c r="K206" t="s">
        <v>16</v>
      </c>
      <c r="L206" t="s">
        <v>16</v>
      </c>
      <c r="M206" t="s">
        <v>22</v>
      </c>
      <c r="N206" t="s">
        <v>51</v>
      </c>
      <c r="O206" t="s">
        <v>16</v>
      </c>
      <c r="P206" t="s">
        <v>16</v>
      </c>
      <c r="Q206" t="s">
        <v>16</v>
      </c>
      <c r="R206" t="s">
        <v>16</v>
      </c>
      <c r="S206" t="s">
        <v>16</v>
      </c>
      <c r="T206" t="s">
        <v>16</v>
      </c>
      <c r="U206" t="s">
        <v>3853</v>
      </c>
      <c r="V206" t="s">
        <v>3854</v>
      </c>
      <c r="W206" t="s">
        <v>3855</v>
      </c>
      <c r="X206" t="s">
        <v>3856</v>
      </c>
      <c r="Y206" t="s">
        <v>3857</v>
      </c>
      <c r="Z206" t="s">
        <v>3858</v>
      </c>
      <c r="AA206" t="s">
        <v>893</v>
      </c>
      <c r="AB206" t="s">
        <v>1259</v>
      </c>
      <c r="AC206" t="s">
        <v>3859</v>
      </c>
      <c r="AD206" t="s">
        <v>3860</v>
      </c>
      <c r="AE206" t="s">
        <v>3861</v>
      </c>
      <c r="AF206" t="s">
        <v>16</v>
      </c>
      <c r="AG206">
        <v>19</v>
      </c>
      <c r="AH206">
        <v>5</v>
      </c>
      <c r="AI206">
        <v>5</v>
      </c>
      <c r="AJ206">
        <v>0</v>
      </c>
      <c r="AK206">
        <v>4</v>
      </c>
      <c r="AL206" t="s">
        <v>63</v>
      </c>
      <c r="AM206" t="s">
        <v>64</v>
      </c>
      <c r="AN206" t="s">
        <v>65</v>
      </c>
      <c r="AO206" t="s">
        <v>66</v>
      </c>
      <c r="AP206" t="s">
        <v>67</v>
      </c>
      <c r="AQ206" t="s">
        <v>16</v>
      </c>
      <c r="AR206" t="s">
        <v>68</v>
      </c>
      <c r="AS206" t="s">
        <v>69</v>
      </c>
      <c r="AT206" t="s">
        <v>70</v>
      </c>
      <c r="AU206">
        <v>2025</v>
      </c>
      <c r="AV206">
        <v>65</v>
      </c>
      <c r="AW206">
        <v>1</v>
      </c>
      <c r="AX206" t="s">
        <v>16</v>
      </c>
      <c r="AY206" t="s">
        <v>16</v>
      </c>
      <c r="AZ206" t="s">
        <v>16</v>
      </c>
      <c r="BA206" t="s">
        <v>16</v>
      </c>
      <c r="BB206" t="s">
        <v>16</v>
      </c>
      <c r="BC206" t="s">
        <v>16</v>
      </c>
      <c r="BD206" t="s">
        <v>16</v>
      </c>
      <c r="BE206" t="s">
        <v>3862</v>
      </c>
      <c r="BF206" t="str">
        <f>HYPERLINK("http://dx.doi.org/10.1002/csc2.21124","http://dx.doi.org/10.1002/csc2.21124")</f>
        <v>http://dx.doi.org/10.1002/csc2.21124</v>
      </c>
      <c r="BG206" t="s">
        <v>16</v>
      </c>
      <c r="BH206" t="s">
        <v>3863</v>
      </c>
      <c r="BI206">
        <v>12</v>
      </c>
      <c r="BJ206" t="s">
        <v>40</v>
      </c>
      <c r="BK206" t="s">
        <v>73</v>
      </c>
      <c r="BL206" t="s">
        <v>42</v>
      </c>
      <c r="BM206" t="s">
        <v>3864</v>
      </c>
      <c r="BN206" t="s">
        <v>16</v>
      </c>
      <c r="BO206" t="s">
        <v>772</v>
      </c>
      <c r="BP206" t="s">
        <v>16</v>
      </c>
      <c r="BQ206" t="s">
        <v>16</v>
      </c>
      <c r="BR206" t="s">
        <v>44</v>
      </c>
      <c r="BS206" t="s">
        <v>3865</v>
      </c>
      <c r="BT206" t="str">
        <f>HYPERLINK("https%3A%2F%2Fwww.webofscience.com%2Fwos%2Fwoscc%2Ffull-record%2FWOS:001173279500001","View Full Record in Web of Science")</f>
        <v>View Full Record in Web of Science</v>
      </c>
    </row>
    <row r="207" spans="1:72" x14ac:dyDescent="0.2">
      <c r="A207" t="s">
        <v>46</v>
      </c>
      <c r="B207" t="s">
        <v>3866</v>
      </c>
      <c r="C207" t="s">
        <v>16</v>
      </c>
      <c r="D207" t="s">
        <v>16</v>
      </c>
      <c r="E207" t="s">
        <v>16</v>
      </c>
      <c r="F207" t="s">
        <v>3867</v>
      </c>
      <c r="G207" t="s">
        <v>16</v>
      </c>
      <c r="H207" t="s">
        <v>16</v>
      </c>
      <c r="I207" t="s">
        <v>3868</v>
      </c>
      <c r="J207" t="s">
        <v>3077</v>
      </c>
      <c r="K207" t="s">
        <v>16</v>
      </c>
      <c r="L207" t="s">
        <v>16</v>
      </c>
      <c r="M207" t="s">
        <v>22</v>
      </c>
      <c r="N207" t="s">
        <v>51</v>
      </c>
      <c r="O207" t="s">
        <v>16</v>
      </c>
      <c r="P207" t="s">
        <v>16</v>
      </c>
      <c r="Q207" t="s">
        <v>16</v>
      </c>
      <c r="R207" t="s">
        <v>16</v>
      </c>
      <c r="S207" t="s">
        <v>16</v>
      </c>
      <c r="T207" t="s">
        <v>3869</v>
      </c>
      <c r="U207" t="s">
        <v>3870</v>
      </c>
      <c r="V207" t="s">
        <v>3871</v>
      </c>
      <c r="W207" t="s">
        <v>3872</v>
      </c>
      <c r="X207" t="s">
        <v>3873</v>
      </c>
      <c r="Y207" t="s">
        <v>3874</v>
      </c>
      <c r="Z207" t="s">
        <v>3875</v>
      </c>
      <c r="AA207" t="s">
        <v>3876</v>
      </c>
      <c r="AB207" t="s">
        <v>3877</v>
      </c>
      <c r="AC207" t="s">
        <v>3878</v>
      </c>
      <c r="AD207" t="s">
        <v>3879</v>
      </c>
      <c r="AE207" t="s">
        <v>3880</v>
      </c>
      <c r="AF207" t="s">
        <v>16</v>
      </c>
      <c r="AG207">
        <v>60</v>
      </c>
      <c r="AH207">
        <v>3</v>
      </c>
      <c r="AI207">
        <v>5</v>
      </c>
      <c r="AJ207">
        <v>2</v>
      </c>
      <c r="AK207">
        <v>48</v>
      </c>
      <c r="AL207" t="s">
        <v>720</v>
      </c>
      <c r="AM207" t="s">
        <v>721</v>
      </c>
      <c r="AN207" t="s">
        <v>722</v>
      </c>
      <c r="AO207" t="s">
        <v>3089</v>
      </c>
      <c r="AP207" t="s">
        <v>3090</v>
      </c>
      <c r="AQ207" t="s">
        <v>16</v>
      </c>
      <c r="AR207" t="s">
        <v>3091</v>
      </c>
      <c r="AS207" t="s">
        <v>3092</v>
      </c>
      <c r="AT207" t="s">
        <v>3881</v>
      </c>
      <c r="AU207">
        <v>2022</v>
      </c>
      <c r="AV207">
        <v>23</v>
      </c>
      <c r="AW207">
        <v>1</v>
      </c>
      <c r="AX207" t="s">
        <v>16</v>
      </c>
      <c r="AY207" t="s">
        <v>16</v>
      </c>
      <c r="AZ207" t="s">
        <v>16</v>
      </c>
      <c r="BA207" t="s">
        <v>16</v>
      </c>
      <c r="BB207" t="s">
        <v>16</v>
      </c>
      <c r="BC207" t="s">
        <v>16</v>
      </c>
      <c r="BD207" t="s">
        <v>3882</v>
      </c>
      <c r="BE207" t="s">
        <v>3883</v>
      </c>
      <c r="BF207" t="str">
        <f>HYPERLINK("http://dx.doi.org/10.1093/bib/bbab447","http://dx.doi.org/10.1093/bib/bbab447")</f>
        <v>http://dx.doi.org/10.1093/bib/bbab447</v>
      </c>
      <c r="BG207" t="s">
        <v>16</v>
      </c>
      <c r="BH207" t="s">
        <v>16</v>
      </c>
      <c r="BI207">
        <v>13</v>
      </c>
      <c r="BJ207" t="s">
        <v>296</v>
      </c>
      <c r="BK207" t="s">
        <v>73</v>
      </c>
      <c r="BL207" t="s">
        <v>3094</v>
      </c>
      <c r="BM207" t="s">
        <v>3884</v>
      </c>
      <c r="BN207">
        <v>34676389</v>
      </c>
      <c r="BO207" t="s">
        <v>16</v>
      </c>
      <c r="BP207" t="s">
        <v>16</v>
      </c>
      <c r="BQ207" t="s">
        <v>16</v>
      </c>
      <c r="BR207" t="s">
        <v>44</v>
      </c>
      <c r="BS207" t="s">
        <v>3885</v>
      </c>
      <c r="BT207" t="str">
        <f>HYPERLINK("https%3A%2F%2Fwww.webofscience.com%2Fwos%2Fwoscc%2Ffull-record%2FWOS:000763000800122","View Full Record in Web of Science")</f>
        <v>View Full Record in Web of Science</v>
      </c>
    </row>
    <row r="208" spans="1:72" x14ac:dyDescent="0.2">
      <c r="A208" t="s">
        <v>46</v>
      </c>
      <c r="B208" t="s">
        <v>3886</v>
      </c>
      <c r="C208" t="s">
        <v>16</v>
      </c>
      <c r="D208" t="s">
        <v>16</v>
      </c>
      <c r="E208" t="s">
        <v>16</v>
      </c>
      <c r="F208" t="s">
        <v>3887</v>
      </c>
      <c r="G208" t="s">
        <v>16</v>
      </c>
      <c r="H208" t="s">
        <v>16</v>
      </c>
      <c r="I208" t="s">
        <v>3888</v>
      </c>
      <c r="J208" t="s">
        <v>2045</v>
      </c>
      <c r="K208" t="s">
        <v>16</v>
      </c>
      <c r="L208" t="s">
        <v>16</v>
      </c>
      <c r="M208" t="s">
        <v>22</v>
      </c>
      <c r="N208" t="s">
        <v>51</v>
      </c>
      <c r="O208" t="s">
        <v>16</v>
      </c>
      <c r="P208" t="s">
        <v>16</v>
      </c>
      <c r="Q208" t="s">
        <v>16</v>
      </c>
      <c r="R208" t="s">
        <v>16</v>
      </c>
      <c r="S208" t="s">
        <v>16</v>
      </c>
      <c r="T208" t="s">
        <v>16</v>
      </c>
      <c r="U208" t="s">
        <v>3889</v>
      </c>
      <c r="V208" t="s">
        <v>3890</v>
      </c>
      <c r="W208" t="s">
        <v>3891</v>
      </c>
      <c r="X208" t="s">
        <v>3892</v>
      </c>
      <c r="Y208" t="s">
        <v>3893</v>
      </c>
      <c r="Z208" t="s">
        <v>331</v>
      </c>
      <c r="AA208" t="s">
        <v>16</v>
      </c>
      <c r="AB208" t="s">
        <v>3894</v>
      </c>
      <c r="AC208" t="s">
        <v>16</v>
      </c>
      <c r="AD208" t="s">
        <v>16</v>
      </c>
      <c r="AE208" t="s">
        <v>16</v>
      </c>
      <c r="AF208" t="s">
        <v>16</v>
      </c>
      <c r="AG208">
        <v>38</v>
      </c>
      <c r="AH208">
        <v>9</v>
      </c>
      <c r="AI208">
        <v>9</v>
      </c>
      <c r="AJ208">
        <v>0</v>
      </c>
      <c r="AK208">
        <v>28</v>
      </c>
      <c r="AL208" t="s">
        <v>2054</v>
      </c>
      <c r="AM208" t="s">
        <v>129</v>
      </c>
      <c r="AN208" t="s">
        <v>2055</v>
      </c>
      <c r="AO208" t="s">
        <v>2056</v>
      </c>
      <c r="AP208" t="s">
        <v>2057</v>
      </c>
      <c r="AQ208" t="s">
        <v>16</v>
      </c>
      <c r="AR208" t="s">
        <v>2058</v>
      </c>
      <c r="AS208" t="s">
        <v>2059</v>
      </c>
      <c r="AT208" t="s">
        <v>812</v>
      </c>
      <c r="AU208">
        <v>2015</v>
      </c>
      <c r="AV208">
        <v>153</v>
      </c>
      <c r="AW208">
        <v>7</v>
      </c>
      <c r="AX208" t="s">
        <v>16</v>
      </c>
      <c r="AY208" t="s">
        <v>16</v>
      </c>
      <c r="AZ208" t="s">
        <v>16</v>
      </c>
      <c r="BA208" t="s">
        <v>16</v>
      </c>
      <c r="BB208">
        <v>1187</v>
      </c>
      <c r="BC208">
        <v>1207</v>
      </c>
      <c r="BD208" t="s">
        <v>16</v>
      </c>
      <c r="BE208" t="s">
        <v>3895</v>
      </c>
      <c r="BF208" t="str">
        <f>HYPERLINK("http://dx.doi.org/10.1017/S0021859614000823","http://dx.doi.org/10.1017/S0021859614000823")</f>
        <v>http://dx.doi.org/10.1017/S0021859614000823</v>
      </c>
      <c r="BG208" t="s">
        <v>16</v>
      </c>
      <c r="BH208" t="s">
        <v>16</v>
      </c>
      <c r="BI208">
        <v>21</v>
      </c>
      <c r="BJ208" t="s">
        <v>296</v>
      </c>
      <c r="BK208" t="s">
        <v>73</v>
      </c>
      <c r="BL208" t="s">
        <v>42</v>
      </c>
      <c r="BM208" t="s">
        <v>3896</v>
      </c>
      <c r="BN208" t="s">
        <v>16</v>
      </c>
      <c r="BO208" t="s">
        <v>341</v>
      </c>
      <c r="BP208" t="s">
        <v>16</v>
      </c>
      <c r="BQ208" t="s">
        <v>16</v>
      </c>
      <c r="BR208" t="s">
        <v>44</v>
      </c>
      <c r="BS208" t="s">
        <v>3897</v>
      </c>
      <c r="BT208" t="str">
        <f>HYPERLINK("https%3A%2F%2Fwww.webofscience.com%2Fwos%2Fwoscc%2Ffull-record%2FWOS:000359288500004","View Full Record in Web of Science")</f>
        <v>View Full Record in Web of Science</v>
      </c>
    </row>
    <row r="209" spans="1:72" x14ac:dyDescent="0.2">
      <c r="A209" t="s">
        <v>46</v>
      </c>
      <c r="B209" t="s">
        <v>3898</v>
      </c>
      <c r="C209" t="s">
        <v>16</v>
      </c>
      <c r="D209" t="s">
        <v>16</v>
      </c>
      <c r="E209" t="s">
        <v>16</v>
      </c>
      <c r="F209" t="s">
        <v>3899</v>
      </c>
      <c r="G209" t="s">
        <v>16</v>
      </c>
      <c r="H209" t="s">
        <v>16</v>
      </c>
      <c r="I209" t="s">
        <v>3900</v>
      </c>
      <c r="J209" t="s">
        <v>3901</v>
      </c>
      <c r="K209" t="s">
        <v>16</v>
      </c>
      <c r="L209" t="s">
        <v>16</v>
      </c>
      <c r="M209" t="s">
        <v>22</v>
      </c>
      <c r="N209" t="s">
        <v>51</v>
      </c>
      <c r="O209" t="s">
        <v>16</v>
      </c>
      <c r="P209" t="s">
        <v>16</v>
      </c>
      <c r="Q209" t="s">
        <v>16</v>
      </c>
      <c r="R209" t="s">
        <v>16</v>
      </c>
      <c r="S209" t="s">
        <v>16</v>
      </c>
      <c r="T209" t="s">
        <v>3902</v>
      </c>
      <c r="U209" t="s">
        <v>3903</v>
      </c>
      <c r="V209" t="s">
        <v>3904</v>
      </c>
      <c r="W209" t="s">
        <v>3905</v>
      </c>
      <c r="X209" t="s">
        <v>3906</v>
      </c>
      <c r="Y209" t="s">
        <v>3907</v>
      </c>
      <c r="Z209" t="s">
        <v>3908</v>
      </c>
      <c r="AA209" t="s">
        <v>3909</v>
      </c>
      <c r="AB209" t="s">
        <v>3910</v>
      </c>
      <c r="AC209" t="s">
        <v>3911</v>
      </c>
      <c r="AD209" t="s">
        <v>3912</v>
      </c>
      <c r="AE209" t="s">
        <v>3913</v>
      </c>
      <c r="AF209" t="s">
        <v>16</v>
      </c>
      <c r="AG209">
        <v>32</v>
      </c>
      <c r="AH209">
        <v>5</v>
      </c>
      <c r="AI209">
        <v>5</v>
      </c>
      <c r="AJ209">
        <v>0</v>
      </c>
      <c r="AK209">
        <v>6</v>
      </c>
      <c r="AL209" t="s">
        <v>808</v>
      </c>
      <c r="AM209" t="s">
        <v>161</v>
      </c>
      <c r="AN209" t="s">
        <v>809</v>
      </c>
      <c r="AO209" t="s">
        <v>3914</v>
      </c>
      <c r="AP209" t="s">
        <v>16</v>
      </c>
      <c r="AQ209" t="s">
        <v>16</v>
      </c>
      <c r="AR209" t="s">
        <v>3901</v>
      </c>
      <c r="AS209" t="s">
        <v>3915</v>
      </c>
      <c r="AT209" t="s">
        <v>576</v>
      </c>
      <c r="AU209">
        <v>2022</v>
      </c>
      <c r="AV209">
        <v>11</v>
      </c>
      <c r="AW209">
        <v>19</v>
      </c>
      <c r="AX209" t="s">
        <v>16</v>
      </c>
      <c r="AY209" t="s">
        <v>16</v>
      </c>
      <c r="AZ209" t="s">
        <v>16</v>
      </c>
      <c r="BA209" t="s">
        <v>16</v>
      </c>
      <c r="BB209" t="s">
        <v>16</v>
      </c>
      <c r="BC209" t="s">
        <v>16</v>
      </c>
      <c r="BD209">
        <v>2564</v>
      </c>
      <c r="BE209" t="s">
        <v>3916</v>
      </c>
      <c r="BF209" t="str">
        <f>HYPERLINK("http://dx.doi.org/10.3390/plants11192564","http://dx.doi.org/10.3390/plants11192564")</f>
        <v>http://dx.doi.org/10.3390/plants11192564</v>
      </c>
      <c r="BG209" t="s">
        <v>16</v>
      </c>
      <c r="BH209" t="s">
        <v>16</v>
      </c>
      <c r="BI209">
        <v>14</v>
      </c>
      <c r="BJ209" t="s">
        <v>214</v>
      </c>
      <c r="BK209" t="s">
        <v>73</v>
      </c>
      <c r="BL209" t="s">
        <v>214</v>
      </c>
      <c r="BM209" t="s">
        <v>3917</v>
      </c>
      <c r="BN209">
        <v>36235430</v>
      </c>
      <c r="BO209" t="s">
        <v>2954</v>
      </c>
      <c r="BP209" t="s">
        <v>16</v>
      </c>
      <c r="BQ209" t="s">
        <v>16</v>
      </c>
      <c r="BR209" t="s">
        <v>44</v>
      </c>
      <c r="BS209" t="s">
        <v>3918</v>
      </c>
      <c r="BT209" t="str">
        <f>HYPERLINK("https%3A%2F%2Fwww.webofscience.com%2Fwos%2Fwoscc%2Ffull-record%2FWOS:000867000300001","View Full Record in Web of Science")</f>
        <v>View Full Record in Web of Science</v>
      </c>
    </row>
    <row r="210" spans="1:72" x14ac:dyDescent="0.2">
      <c r="A210" t="s">
        <v>46</v>
      </c>
      <c r="B210" t="s">
        <v>3919</v>
      </c>
      <c r="C210" t="s">
        <v>16</v>
      </c>
      <c r="D210" t="s">
        <v>16</v>
      </c>
      <c r="E210" t="s">
        <v>16</v>
      </c>
      <c r="F210" t="s">
        <v>3920</v>
      </c>
      <c r="G210" t="s">
        <v>16</v>
      </c>
      <c r="H210" t="s">
        <v>16</v>
      </c>
      <c r="I210" t="s">
        <v>3921</v>
      </c>
      <c r="J210" t="s">
        <v>3922</v>
      </c>
      <c r="K210" t="s">
        <v>16</v>
      </c>
      <c r="L210" t="s">
        <v>16</v>
      </c>
      <c r="M210" t="s">
        <v>22</v>
      </c>
      <c r="N210" t="s">
        <v>118</v>
      </c>
      <c r="O210" t="s">
        <v>16</v>
      </c>
      <c r="P210" t="s">
        <v>16</v>
      </c>
      <c r="Q210" t="s">
        <v>16</v>
      </c>
      <c r="R210" t="s">
        <v>16</v>
      </c>
      <c r="S210" t="s">
        <v>16</v>
      </c>
      <c r="T210" t="s">
        <v>3923</v>
      </c>
      <c r="U210" t="s">
        <v>3924</v>
      </c>
      <c r="V210" t="s">
        <v>3925</v>
      </c>
      <c r="W210" t="s">
        <v>3926</v>
      </c>
      <c r="X210" t="s">
        <v>3927</v>
      </c>
      <c r="Y210" t="s">
        <v>3928</v>
      </c>
      <c r="Z210" t="s">
        <v>3929</v>
      </c>
      <c r="AA210" t="s">
        <v>3930</v>
      </c>
      <c r="AB210" t="s">
        <v>3931</v>
      </c>
      <c r="AC210" t="s">
        <v>3932</v>
      </c>
      <c r="AD210" t="s">
        <v>3933</v>
      </c>
      <c r="AE210" t="s">
        <v>3934</v>
      </c>
      <c r="AF210" t="s">
        <v>16</v>
      </c>
      <c r="AG210">
        <v>210</v>
      </c>
      <c r="AH210">
        <v>50</v>
      </c>
      <c r="AI210">
        <v>55</v>
      </c>
      <c r="AJ210">
        <v>6</v>
      </c>
      <c r="AK210">
        <v>95</v>
      </c>
      <c r="AL210" t="s">
        <v>206</v>
      </c>
      <c r="AM210" t="s">
        <v>207</v>
      </c>
      <c r="AN210" t="s">
        <v>208</v>
      </c>
      <c r="AO210" t="s">
        <v>16</v>
      </c>
      <c r="AP210" t="s">
        <v>3935</v>
      </c>
      <c r="AQ210" t="s">
        <v>16</v>
      </c>
      <c r="AR210" t="s">
        <v>3936</v>
      </c>
      <c r="AS210" t="s">
        <v>3937</v>
      </c>
      <c r="AT210" t="s">
        <v>3938</v>
      </c>
      <c r="AU210">
        <v>2021</v>
      </c>
      <c r="AV210">
        <v>5</v>
      </c>
      <c r="AW210" t="s">
        <v>16</v>
      </c>
      <c r="AX210" t="s">
        <v>16</v>
      </c>
      <c r="AY210" t="s">
        <v>16</v>
      </c>
      <c r="AZ210" t="s">
        <v>16</v>
      </c>
      <c r="BA210" t="s">
        <v>16</v>
      </c>
      <c r="BB210" t="s">
        <v>16</v>
      </c>
      <c r="BC210" t="s">
        <v>16</v>
      </c>
      <c r="BD210">
        <v>660155</v>
      </c>
      <c r="BE210" t="s">
        <v>3939</v>
      </c>
      <c r="BF210" t="str">
        <f>HYPERLINK("http://dx.doi.org/10.3389/fsufs.2021.660155","http://dx.doi.org/10.3389/fsufs.2021.660155")</f>
        <v>http://dx.doi.org/10.3389/fsufs.2021.660155</v>
      </c>
      <c r="BG210" t="s">
        <v>16</v>
      </c>
      <c r="BH210" t="s">
        <v>16</v>
      </c>
      <c r="BI210">
        <v>18</v>
      </c>
      <c r="BJ210" t="s">
        <v>3940</v>
      </c>
      <c r="BK210" t="s">
        <v>73</v>
      </c>
      <c r="BL210" t="s">
        <v>3940</v>
      </c>
      <c r="BM210" t="s">
        <v>3941</v>
      </c>
      <c r="BN210" t="s">
        <v>16</v>
      </c>
      <c r="BO210" t="s">
        <v>216</v>
      </c>
      <c r="BP210" t="s">
        <v>16</v>
      </c>
      <c r="BQ210" t="s">
        <v>16</v>
      </c>
      <c r="BR210" t="s">
        <v>44</v>
      </c>
      <c r="BS210" t="s">
        <v>3942</v>
      </c>
      <c r="BT210" t="str">
        <f>HYPERLINK("https%3A%2F%2Fwww.webofscience.com%2Fwos%2Fwoscc%2Ffull-record%2FWOS:000661146300001","View Full Record in Web of Science")</f>
        <v>View Full Record in Web of Science</v>
      </c>
    </row>
    <row r="211" spans="1:72" x14ac:dyDescent="0.2">
      <c r="A211" t="s">
        <v>46</v>
      </c>
      <c r="B211" t="s">
        <v>3943</v>
      </c>
      <c r="C211" t="s">
        <v>16</v>
      </c>
      <c r="D211" t="s">
        <v>16</v>
      </c>
      <c r="E211" t="s">
        <v>16</v>
      </c>
      <c r="F211" t="s">
        <v>3944</v>
      </c>
      <c r="G211" t="s">
        <v>16</v>
      </c>
      <c r="H211" t="s">
        <v>16</v>
      </c>
      <c r="I211" t="s">
        <v>3945</v>
      </c>
      <c r="J211" t="s">
        <v>326</v>
      </c>
      <c r="K211" t="s">
        <v>16</v>
      </c>
      <c r="L211" t="s">
        <v>16</v>
      </c>
      <c r="M211" t="s">
        <v>22</v>
      </c>
      <c r="N211" t="s">
        <v>51</v>
      </c>
      <c r="O211" t="s">
        <v>16</v>
      </c>
      <c r="P211" t="s">
        <v>16</v>
      </c>
      <c r="Q211" t="s">
        <v>16</v>
      </c>
      <c r="R211" t="s">
        <v>16</v>
      </c>
      <c r="S211" t="s">
        <v>16</v>
      </c>
      <c r="T211" t="s">
        <v>3946</v>
      </c>
      <c r="U211" t="s">
        <v>3947</v>
      </c>
      <c r="V211" t="s">
        <v>3948</v>
      </c>
      <c r="W211" t="s">
        <v>3949</v>
      </c>
      <c r="X211" t="s">
        <v>3950</v>
      </c>
      <c r="Y211" t="s">
        <v>3951</v>
      </c>
      <c r="Z211" t="s">
        <v>3952</v>
      </c>
      <c r="AA211" t="s">
        <v>3953</v>
      </c>
      <c r="AB211" t="s">
        <v>3954</v>
      </c>
      <c r="AC211" t="s">
        <v>3955</v>
      </c>
      <c r="AD211" t="s">
        <v>3956</v>
      </c>
      <c r="AE211" t="s">
        <v>3957</v>
      </c>
      <c r="AF211" t="s">
        <v>16</v>
      </c>
      <c r="AG211">
        <v>83</v>
      </c>
      <c r="AH211">
        <v>4</v>
      </c>
      <c r="AI211">
        <v>4</v>
      </c>
      <c r="AJ211">
        <v>0</v>
      </c>
      <c r="AK211">
        <v>3</v>
      </c>
      <c r="AL211" t="s">
        <v>332</v>
      </c>
      <c r="AM211" t="s">
        <v>333</v>
      </c>
      <c r="AN211" t="s">
        <v>334</v>
      </c>
      <c r="AO211" t="s">
        <v>335</v>
      </c>
      <c r="AP211" t="s">
        <v>336</v>
      </c>
      <c r="AQ211" t="s">
        <v>16</v>
      </c>
      <c r="AR211" t="s">
        <v>326</v>
      </c>
      <c r="AS211" t="s">
        <v>337</v>
      </c>
      <c r="AT211" t="s">
        <v>623</v>
      </c>
      <c r="AU211">
        <v>2021</v>
      </c>
      <c r="AV211">
        <v>217</v>
      </c>
      <c r="AW211">
        <v>3</v>
      </c>
      <c r="AX211" t="s">
        <v>16</v>
      </c>
      <c r="AY211" t="s">
        <v>16</v>
      </c>
      <c r="AZ211" t="s">
        <v>16</v>
      </c>
      <c r="BA211" t="s">
        <v>16</v>
      </c>
      <c r="BB211" t="s">
        <v>16</v>
      </c>
      <c r="BC211" t="s">
        <v>16</v>
      </c>
      <c r="BD211" t="s">
        <v>3958</v>
      </c>
      <c r="BE211" t="s">
        <v>3959</v>
      </c>
      <c r="BF211" t="str">
        <f>HYPERLINK("http://dx.doi.org/10.1093/genetics/iyab002","http://dx.doi.org/10.1093/genetics/iyab002")</f>
        <v>http://dx.doi.org/10.1093/genetics/iyab002</v>
      </c>
      <c r="BG211" t="s">
        <v>16</v>
      </c>
      <c r="BH211" t="s">
        <v>1580</v>
      </c>
      <c r="BI211">
        <v>14</v>
      </c>
      <c r="BJ211" t="s">
        <v>339</v>
      </c>
      <c r="BK211" t="s">
        <v>73</v>
      </c>
      <c r="BL211" t="s">
        <v>339</v>
      </c>
      <c r="BM211" t="s">
        <v>3960</v>
      </c>
      <c r="BN211">
        <v>33789346</v>
      </c>
      <c r="BO211" t="s">
        <v>139</v>
      </c>
      <c r="BP211" t="s">
        <v>16</v>
      </c>
      <c r="BQ211" t="s">
        <v>16</v>
      </c>
      <c r="BR211" t="s">
        <v>44</v>
      </c>
      <c r="BS211" t="s">
        <v>3961</v>
      </c>
      <c r="BT211" t="str">
        <f>HYPERLINK("https%3A%2F%2Fwww.webofscience.com%2Fwos%2Fwoscc%2Ffull-record%2FWOS:000637218300008","View Full Record in Web of Science")</f>
        <v>View Full Record in Web of Science</v>
      </c>
    </row>
    <row r="212" spans="1:72" x14ac:dyDescent="0.2">
      <c r="A212" t="s">
        <v>46</v>
      </c>
      <c r="B212" t="s">
        <v>3962</v>
      </c>
      <c r="C212" t="s">
        <v>16</v>
      </c>
      <c r="D212" t="s">
        <v>16</v>
      </c>
      <c r="E212" t="s">
        <v>16</v>
      </c>
      <c r="F212" t="s">
        <v>3963</v>
      </c>
      <c r="G212" t="s">
        <v>16</v>
      </c>
      <c r="H212" t="s">
        <v>16</v>
      </c>
      <c r="I212" t="s">
        <v>3964</v>
      </c>
      <c r="J212" t="s">
        <v>3965</v>
      </c>
      <c r="K212" t="s">
        <v>16</v>
      </c>
      <c r="L212" t="s">
        <v>16</v>
      </c>
      <c r="M212" t="s">
        <v>22</v>
      </c>
      <c r="N212" t="s">
        <v>51</v>
      </c>
      <c r="O212" t="s">
        <v>16</v>
      </c>
      <c r="P212" t="s">
        <v>16</v>
      </c>
      <c r="Q212" t="s">
        <v>16</v>
      </c>
      <c r="R212" t="s">
        <v>16</v>
      </c>
      <c r="S212" t="s">
        <v>16</v>
      </c>
      <c r="T212" t="s">
        <v>3966</v>
      </c>
      <c r="U212" t="s">
        <v>3967</v>
      </c>
      <c r="V212" t="s">
        <v>3968</v>
      </c>
      <c r="W212" t="s">
        <v>3969</v>
      </c>
      <c r="X212" t="s">
        <v>1996</v>
      </c>
      <c r="Y212" t="s">
        <v>3970</v>
      </c>
      <c r="Z212" t="s">
        <v>3971</v>
      </c>
      <c r="AA212" t="s">
        <v>16</v>
      </c>
      <c r="AB212" t="s">
        <v>3972</v>
      </c>
      <c r="AC212" t="s">
        <v>3973</v>
      </c>
      <c r="AD212" t="s">
        <v>3974</v>
      </c>
      <c r="AE212" t="s">
        <v>3975</v>
      </c>
      <c r="AF212" t="s">
        <v>16</v>
      </c>
      <c r="AG212">
        <v>40</v>
      </c>
      <c r="AH212">
        <v>0</v>
      </c>
      <c r="AI212">
        <v>0</v>
      </c>
      <c r="AJ212">
        <v>1</v>
      </c>
      <c r="AK212">
        <v>4</v>
      </c>
      <c r="AL212" t="s">
        <v>3976</v>
      </c>
      <c r="AM212" t="s">
        <v>3977</v>
      </c>
      <c r="AN212" t="s">
        <v>3978</v>
      </c>
      <c r="AO212" t="s">
        <v>3979</v>
      </c>
      <c r="AP212" t="s">
        <v>3980</v>
      </c>
      <c r="AQ212" t="s">
        <v>16</v>
      </c>
      <c r="AR212" t="s">
        <v>3981</v>
      </c>
      <c r="AS212" t="s">
        <v>3982</v>
      </c>
      <c r="AT212" t="s">
        <v>16</v>
      </c>
      <c r="AU212">
        <v>2023</v>
      </c>
      <c r="AV212">
        <v>45</v>
      </c>
      <c r="AW212" t="s">
        <v>16</v>
      </c>
      <c r="AX212" t="s">
        <v>16</v>
      </c>
      <c r="AY212" t="s">
        <v>16</v>
      </c>
      <c r="AZ212" t="s">
        <v>16</v>
      </c>
      <c r="BA212" t="s">
        <v>16</v>
      </c>
      <c r="BB212" t="s">
        <v>16</v>
      </c>
      <c r="BC212" t="s">
        <v>16</v>
      </c>
      <c r="BD212" t="s">
        <v>3983</v>
      </c>
      <c r="BE212" t="s">
        <v>3984</v>
      </c>
      <c r="BF212" t="str">
        <f>HYPERLINK("http://dx.doi.org/10.4025/actasciagron.v45i1.61550","http://dx.doi.org/10.4025/actasciagron.v45i1.61550")</f>
        <v>http://dx.doi.org/10.4025/actasciagron.v45i1.61550</v>
      </c>
      <c r="BG212" t="s">
        <v>16</v>
      </c>
      <c r="BH212" t="s">
        <v>16</v>
      </c>
      <c r="BI212">
        <v>11</v>
      </c>
      <c r="BJ212" t="s">
        <v>40</v>
      </c>
      <c r="BK212" t="s">
        <v>73</v>
      </c>
      <c r="BL212" t="s">
        <v>42</v>
      </c>
      <c r="BM212" t="s">
        <v>3985</v>
      </c>
      <c r="BN212" t="s">
        <v>16</v>
      </c>
      <c r="BO212" t="s">
        <v>552</v>
      </c>
      <c r="BP212" t="s">
        <v>16</v>
      </c>
      <c r="BQ212" t="s">
        <v>16</v>
      </c>
      <c r="BR212" t="s">
        <v>44</v>
      </c>
      <c r="BS212" t="s">
        <v>3986</v>
      </c>
      <c r="BT212" t="str">
        <f>HYPERLINK("https%3A%2F%2Fwww.webofscience.com%2Fwos%2Fwoscc%2Ffull-record%2FWOS:001054022600001","View Full Record in Web of Science")</f>
        <v>View Full Record in Web of Science</v>
      </c>
    </row>
    <row r="213" spans="1:72" x14ac:dyDescent="0.2">
      <c r="A213" t="s">
        <v>46</v>
      </c>
      <c r="B213" t="s">
        <v>3987</v>
      </c>
      <c r="C213" t="s">
        <v>16</v>
      </c>
      <c r="D213" t="s">
        <v>16</v>
      </c>
      <c r="E213" t="s">
        <v>16</v>
      </c>
      <c r="F213" t="s">
        <v>3988</v>
      </c>
      <c r="G213" t="s">
        <v>16</v>
      </c>
      <c r="H213" t="s">
        <v>16</v>
      </c>
      <c r="I213" t="s">
        <v>3989</v>
      </c>
      <c r="J213" t="s">
        <v>3392</v>
      </c>
      <c r="K213" t="s">
        <v>16</v>
      </c>
      <c r="L213" t="s">
        <v>16</v>
      </c>
      <c r="M213" t="s">
        <v>22</v>
      </c>
      <c r="N213" t="s">
        <v>51</v>
      </c>
      <c r="O213" t="s">
        <v>16</v>
      </c>
      <c r="P213" t="s">
        <v>16</v>
      </c>
      <c r="Q213" t="s">
        <v>16</v>
      </c>
      <c r="R213" t="s">
        <v>16</v>
      </c>
      <c r="S213" t="s">
        <v>16</v>
      </c>
      <c r="T213" t="s">
        <v>3990</v>
      </c>
      <c r="U213" t="s">
        <v>3991</v>
      </c>
      <c r="V213" t="s">
        <v>3992</v>
      </c>
      <c r="W213" t="s">
        <v>3993</v>
      </c>
      <c r="X213" t="s">
        <v>3994</v>
      </c>
      <c r="Y213" t="s">
        <v>3995</v>
      </c>
      <c r="Z213" t="s">
        <v>3996</v>
      </c>
      <c r="AA213" t="s">
        <v>16</v>
      </c>
      <c r="AB213" t="s">
        <v>16</v>
      </c>
      <c r="AC213" t="s">
        <v>16</v>
      </c>
      <c r="AD213" t="s">
        <v>16</v>
      </c>
      <c r="AE213" t="s">
        <v>16</v>
      </c>
      <c r="AF213" t="s">
        <v>16</v>
      </c>
      <c r="AG213">
        <v>16</v>
      </c>
      <c r="AH213">
        <v>1</v>
      </c>
      <c r="AI213">
        <v>1</v>
      </c>
      <c r="AJ213">
        <v>0</v>
      </c>
      <c r="AK213">
        <v>5</v>
      </c>
      <c r="AL213" t="s">
        <v>3404</v>
      </c>
      <c r="AM213" t="s">
        <v>3405</v>
      </c>
      <c r="AN213" t="s">
        <v>3406</v>
      </c>
      <c r="AO213" t="s">
        <v>16</v>
      </c>
      <c r="AP213" t="s">
        <v>3407</v>
      </c>
      <c r="AQ213" t="s">
        <v>16</v>
      </c>
      <c r="AR213" t="s">
        <v>3408</v>
      </c>
      <c r="AS213" t="s">
        <v>3409</v>
      </c>
      <c r="AT213" t="s">
        <v>16</v>
      </c>
      <c r="AU213">
        <v>2013</v>
      </c>
      <c r="AV213">
        <v>12</v>
      </c>
      <c r="AW213">
        <v>3</v>
      </c>
      <c r="AX213" t="s">
        <v>16</v>
      </c>
      <c r="AY213" t="s">
        <v>16</v>
      </c>
      <c r="AZ213" t="s">
        <v>16</v>
      </c>
      <c r="BA213" t="s">
        <v>16</v>
      </c>
      <c r="BB213">
        <v>3766</v>
      </c>
      <c r="BC213">
        <v>3774</v>
      </c>
      <c r="BD213" t="s">
        <v>16</v>
      </c>
      <c r="BE213" t="s">
        <v>3997</v>
      </c>
      <c r="BF213" t="str">
        <f>HYPERLINK("http://dx.doi.org/10.4238/2013.September.19.8","http://dx.doi.org/10.4238/2013.September.19.8")</f>
        <v>http://dx.doi.org/10.4238/2013.September.19.8</v>
      </c>
      <c r="BG213" t="s">
        <v>16</v>
      </c>
      <c r="BH213" t="s">
        <v>16</v>
      </c>
      <c r="BI213">
        <v>9</v>
      </c>
      <c r="BJ213" t="s">
        <v>296</v>
      </c>
      <c r="BK213" t="s">
        <v>73</v>
      </c>
      <c r="BL213" t="s">
        <v>1076</v>
      </c>
      <c r="BM213" t="s">
        <v>3998</v>
      </c>
      <c r="BN213">
        <v>24085438</v>
      </c>
      <c r="BO213" t="s">
        <v>666</v>
      </c>
      <c r="BP213" t="s">
        <v>16</v>
      </c>
      <c r="BQ213" t="s">
        <v>16</v>
      </c>
      <c r="BR213" t="s">
        <v>44</v>
      </c>
      <c r="BS213" t="s">
        <v>3999</v>
      </c>
      <c r="BT213" t="str">
        <f>HYPERLINK("https%3A%2F%2Fwww.webofscience.com%2Fwos%2Fwoscc%2Ffull-record%2FWOS:000331717400168","View Full Record in Web of Science")</f>
        <v>View Full Record in Web of Science</v>
      </c>
    </row>
    <row r="214" spans="1:72" x14ac:dyDescent="0.2">
      <c r="A214" t="s">
        <v>46</v>
      </c>
      <c r="B214" t="s">
        <v>4000</v>
      </c>
      <c r="C214" t="s">
        <v>16</v>
      </c>
      <c r="D214" t="s">
        <v>16</v>
      </c>
      <c r="E214" t="s">
        <v>16</v>
      </c>
      <c r="F214" t="s">
        <v>4001</v>
      </c>
      <c r="G214" t="s">
        <v>16</v>
      </c>
      <c r="H214" t="s">
        <v>16</v>
      </c>
      <c r="I214" t="s">
        <v>4002</v>
      </c>
      <c r="J214" t="s">
        <v>368</v>
      </c>
      <c r="K214" t="s">
        <v>16</v>
      </c>
      <c r="L214" t="s">
        <v>16</v>
      </c>
      <c r="M214" t="s">
        <v>22</v>
      </c>
      <c r="N214" t="s">
        <v>51</v>
      </c>
      <c r="O214" t="s">
        <v>16</v>
      </c>
      <c r="P214" t="s">
        <v>16</v>
      </c>
      <c r="Q214" t="s">
        <v>16</v>
      </c>
      <c r="R214" t="s">
        <v>16</v>
      </c>
      <c r="S214" t="s">
        <v>16</v>
      </c>
      <c r="T214" t="s">
        <v>16</v>
      </c>
      <c r="U214" t="s">
        <v>4003</v>
      </c>
      <c r="V214" t="s">
        <v>4004</v>
      </c>
      <c r="W214" t="s">
        <v>4005</v>
      </c>
      <c r="X214" t="s">
        <v>4006</v>
      </c>
      <c r="Y214" t="s">
        <v>4007</v>
      </c>
      <c r="Z214" t="s">
        <v>4008</v>
      </c>
      <c r="AA214" t="s">
        <v>4009</v>
      </c>
      <c r="AB214" t="s">
        <v>16</v>
      </c>
      <c r="AC214" t="s">
        <v>4010</v>
      </c>
      <c r="AD214" t="s">
        <v>4010</v>
      </c>
      <c r="AE214" t="s">
        <v>4011</v>
      </c>
      <c r="AF214" t="s">
        <v>16</v>
      </c>
      <c r="AG214">
        <v>69</v>
      </c>
      <c r="AH214">
        <v>24</v>
      </c>
      <c r="AI214">
        <v>25</v>
      </c>
      <c r="AJ214">
        <v>0</v>
      </c>
      <c r="AK214">
        <v>42</v>
      </c>
      <c r="AL214" t="s">
        <v>375</v>
      </c>
      <c r="AM214" t="s">
        <v>376</v>
      </c>
      <c r="AN214" t="s">
        <v>377</v>
      </c>
      <c r="AO214" t="s">
        <v>378</v>
      </c>
      <c r="AP214" t="s">
        <v>379</v>
      </c>
      <c r="AQ214" t="s">
        <v>16</v>
      </c>
      <c r="AR214" t="s">
        <v>368</v>
      </c>
      <c r="AS214" t="s">
        <v>380</v>
      </c>
      <c r="AT214" t="s">
        <v>1233</v>
      </c>
      <c r="AU214">
        <v>2018</v>
      </c>
      <c r="AV214">
        <v>120</v>
      </c>
      <c r="AW214">
        <v>4</v>
      </c>
      <c r="AX214" t="s">
        <v>16</v>
      </c>
      <c r="AY214" t="s">
        <v>16</v>
      </c>
      <c r="AZ214" t="s">
        <v>16</v>
      </c>
      <c r="BA214" t="s">
        <v>16</v>
      </c>
      <c r="BB214">
        <v>342</v>
      </c>
      <c r="BC214">
        <v>355</v>
      </c>
      <c r="BD214" t="s">
        <v>16</v>
      </c>
      <c r="BE214" t="s">
        <v>4012</v>
      </c>
      <c r="BF214" t="str">
        <f>HYPERLINK("http://dx.doi.org/10.1038/s41437-017-0032-3","http://dx.doi.org/10.1038/s41437-017-0032-3")</f>
        <v>http://dx.doi.org/10.1038/s41437-017-0032-3</v>
      </c>
      <c r="BG214" t="s">
        <v>16</v>
      </c>
      <c r="BH214" t="s">
        <v>16</v>
      </c>
      <c r="BI214">
        <v>14</v>
      </c>
      <c r="BJ214" t="s">
        <v>296</v>
      </c>
      <c r="BK214" t="s">
        <v>73</v>
      </c>
      <c r="BL214" t="s">
        <v>383</v>
      </c>
      <c r="BM214" t="s">
        <v>4013</v>
      </c>
      <c r="BN214">
        <v>29225351</v>
      </c>
      <c r="BO214" t="s">
        <v>2278</v>
      </c>
      <c r="BP214" t="s">
        <v>16</v>
      </c>
      <c r="BQ214" t="s">
        <v>16</v>
      </c>
      <c r="BR214" t="s">
        <v>44</v>
      </c>
      <c r="BS214" t="s">
        <v>4014</v>
      </c>
      <c r="BT214" t="str">
        <f>HYPERLINK("https%3A%2F%2Fwww.webofscience.com%2Fwos%2Fwoscc%2Ffull-record%2FWOS:000426887000005","View Full Record in Web of Science")</f>
        <v>View Full Record in Web of Science</v>
      </c>
    </row>
    <row r="215" spans="1:72" x14ac:dyDescent="0.2">
      <c r="A215" t="s">
        <v>46</v>
      </c>
      <c r="B215" t="s">
        <v>4015</v>
      </c>
      <c r="C215" t="s">
        <v>16</v>
      </c>
      <c r="D215" t="s">
        <v>16</v>
      </c>
      <c r="E215" t="s">
        <v>16</v>
      </c>
      <c r="F215" t="s">
        <v>4016</v>
      </c>
      <c r="G215" t="s">
        <v>16</v>
      </c>
      <c r="H215" t="s">
        <v>16</v>
      </c>
      <c r="I215" t="s">
        <v>4017</v>
      </c>
      <c r="J215" t="s">
        <v>4018</v>
      </c>
      <c r="K215" t="s">
        <v>16</v>
      </c>
      <c r="L215" t="s">
        <v>16</v>
      </c>
      <c r="M215" t="s">
        <v>22</v>
      </c>
      <c r="N215" t="s">
        <v>51</v>
      </c>
      <c r="O215" t="s">
        <v>16</v>
      </c>
      <c r="P215" t="s">
        <v>16</v>
      </c>
      <c r="Q215" t="s">
        <v>16</v>
      </c>
      <c r="R215" t="s">
        <v>16</v>
      </c>
      <c r="S215" t="s">
        <v>16</v>
      </c>
      <c r="T215" t="s">
        <v>16</v>
      </c>
      <c r="U215" t="s">
        <v>4019</v>
      </c>
      <c r="V215" t="s">
        <v>4020</v>
      </c>
      <c r="W215" t="s">
        <v>4021</v>
      </c>
      <c r="X215" t="s">
        <v>103</v>
      </c>
      <c r="Y215" t="s">
        <v>4022</v>
      </c>
      <c r="Z215" t="s">
        <v>4023</v>
      </c>
      <c r="AA215" t="s">
        <v>16</v>
      </c>
      <c r="AB215" t="s">
        <v>16</v>
      </c>
      <c r="AC215" t="s">
        <v>4024</v>
      </c>
      <c r="AD215" t="s">
        <v>4025</v>
      </c>
      <c r="AE215" t="s">
        <v>4026</v>
      </c>
      <c r="AF215" t="s">
        <v>16</v>
      </c>
      <c r="AG215">
        <v>50</v>
      </c>
      <c r="AH215">
        <v>64</v>
      </c>
      <c r="AI215">
        <v>73</v>
      </c>
      <c r="AJ215">
        <v>0</v>
      </c>
      <c r="AK215">
        <v>18</v>
      </c>
      <c r="AL215" t="s">
        <v>4027</v>
      </c>
      <c r="AM215" t="s">
        <v>376</v>
      </c>
      <c r="AN215" t="s">
        <v>4028</v>
      </c>
      <c r="AO215" t="s">
        <v>4029</v>
      </c>
      <c r="AP215" t="s">
        <v>4030</v>
      </c>
      <c r="AQ215" t="s">
        <v>16</v>
      </c>
      <c r="AR215" t="s">
        <v>4031</v>
      </c>
      <c r="AS215" t="s">
        <v>4032</v>
      </c>
      <c r="AT215" t="s">
        <v>1533</v>
      </c>
      <c r="AU215">
        <v>2012</v>
      </c>
      <c r="AV215">
        <v>94</v>
      </c>
      <c r="AW215">
        <v>1</v>
      </c>
      <c r="AX215" t="s">
        <v>16</v>
      </c>
      <c r="AY215" t="s">
        <v>16</v>
      </c>
      <c r="AZ215" t="s">
        <v>16</v>
      </c>
      <c r="BA215" t="s">
        <v>16</v>
      </c>
      <c r="BB215">
        <v>21</v>
      </c>
      <c r="BC215">
        <v>37</v>
      </c>
      <c r="BD215" t="s">
        <v>16</v>
      </c>
      <c r="BE215" t="s">
        <v>4033</v>
      </c>
      <c r="BF215" t="str">
        <f>HYPERLINK("http://dx.doi.org/10.1017/S0016672312000018","http://dx.doi.org/10.1017/S0016672312000018")</f>
        <v>http://dx.doi.org/10.1017/S0016672312000018</v>
      </c>
      <c r="BG215" t="s">
        <v>16</v>
      </c>
      <c r="BH215" t="s">
        <v>16</v>
      </c>
      <c r="BI215">
        <v>17</v>
      </c>
      <c r="BJ215" t="s">
        <v>339</v>
      </c>
      <c r="BK215" t="s">
        <v>73</v>
      </c>
      <c r="BL215" t="s">
        <v>339</v>
      </c>
      <c r="BM215" t="s">
        <v>4034</v>
      </c>
      <c r="BN215">
        <v>22353246</v>
      </c>
      <c r="BO215" t="s">
        <v>552</v>
      </c>
      <c r="BP215" t="s">
        <v>16</v>
      </c>
      <c r="BQ215" t="s">
        <v>16</v>
      </c>
      <c r="BR215" t="s">
        <v>44</v>
      </c>
      <c r="BS215" t="s">
        <v>4035</v>
      </c>
      <c r="BT215" t="str">
        <f>HYPERLINK("https%3A%2F%2Fwww.webofscience.com%2Fwos%2Fwoscc%2Ffull-record%2FWOS:000300560900003","View Full Record in Web of Science")</f>
        <v>View Full Record in Web of Science</v>
      </c>
    </row>
    <row r="216" spans="1:72" x14ac:dyDescent="0.2">
      <c r="A216" t="s">
        <v>46</v>
      </c>
      <c r="B216" t="s">
        <v>4036</v>
      </c>
      <c r="C216" t="s">
        <v>16</v>
      </c>
      <c r="D216" t="s">
        <v>16</v>
      </c>
      <c r="E216" t="s">
        <v>16</v>
      </c>
      <c r="F216" t="s">
        <v>4037</v>
      </c>
      <c r="G216" t="s">
        <v>16</v>
      </c>
      <c r="H216" t="s">
        <v>16</v>
      </c>
      <c r="I216" t="s">
        <v>4038</v>
      </c>
      <c r="J216" t="s">
        <v>4039</v>
      </c>
      <c r="K216" t="s">
        <v>16</v>
      </c>
      <c r="L216" t="s">
        <v>16</v>
      </c>
      <c r="M216" t="s">
        <v>22</v>
      </c>
      <c r="N216" t="s">
        <v>51</v>
      </c>
      <c r="O216" t="s">
        <v>16</v>
      </c>
      <c r="P216" t="s">
        <v>16</v>
      </c>
      <c r="Q216" t="s">
        <v>16</v>
      </c>
      <c r="R216" t="s">
        <v>16</v>
      </c>
      <c r="S216" t="s">
        <v>16</v>
      </c>
      <c r="T216" t="s">
        <v>4040</v>
      </c>
      <c r="U216" t="s">
        <v>4041</v>
      </c>
      <c r="V216" t="s">
        <v>4042</v>
      </c>
      <c r="W216" t="s">
        <v>4043</v>
      </c>
      <c r="X216" t="s">
        <v>4044</v>
      </c>
      <c r="Y216" t="s">
        <v>4045</v>
      </c>
      <c r="Z216" t="s">
        <v>4046</v>
      </c>
      <c r="AA216" t="s">
        <v>4047</v>
      </c>
      <c r="AB216" t="s">
        <v>4048</v>
      </c>
      <c r="AC216" t="s">
        <v>4049</v>
      </c>
      <c r="AD216" t="s">
        <v>4050</v>
      </c>
      <c r="AE216" t="s">
        <v>4051</v>
      </c>
      <c r="AF216" t="s">
        <v>16</v>
      </c>
      <c r="AG216">
        <v>137</v>
      </c>
      <c r="AH216">
        <v>7</v>
      </c>
      <c r="AI216">
        <v>7</v>
      </c>
      <c r="AJ216">
        <v>22</v>
      </c>
      <c r="AK216">
        <v>28</v>
      </c>
      <c r="AL216" t="s">
        <v>4052</v>
      </c>
      <c r="AM216" t="s">
        <v>4053</v>
      </c>
      <c r="AN216" t="s">
        <v>4054</v>
      </c>
      <c r="AO216" t="s">
        <v>4055</v>
      </c>
      <c r="AP216" t="s">
        <v>4056</v>
      </c>
      <c r="AQ216" t="s">
        <v>16</v>
      </c>
      <c r="AR216" t="s">
        <v>4057</v>
      </c>
      <c r="AS216" t="s">
        <v>4058</v>
      </c>
      <c r="AT216" t="s">
        <v>4059</v>
      </c>
      <c r="AU216">
        <v>2024</v>
      </c>
      <c r="AV216">
        <v>17</v>
      </c>
      <c r="AW216">
        <v>6</v>
      </c>
      <c r="AX216" t="s">
        <v>16</v>
      </c>
      <c r="AY216" t="s">
        <v>16</v>
      </c>
      <c r="AZ216" t="s">
        <v>16</v>
      </c>
      <c r="BA216" t="s">
        <v>16</v>
      </c>
      <c r="BB216">
        <v>848</v>
      </c>
      <c r="BC216">
        <v>866</v>
      </c>
      <c r="BD216" t="s">
        <v>16</v>
      </c>
      <c r="BE216" t="s">
        <v>4060</v>
      </c>
      <c r="BF216" t="str">
        <f>HYPERLINK("http://dx.doi.org/10.1016/j.molp.2024.04.005","http://dx.doi.org/10.1016/j.molp.2024.04.005")</f>
        <v>http://dx.doi.org/10.1016/j.molp.2024.04.005</v>
      </c>
      <c r="BG216" t="s">
        <v>16</v>
      </c>
      <c r="BH216" t="s">
        <v>960</v>
      </c>
      <c r="BI216">
        <v>19</v>
      </c>
      <c r="BJ216" t="s">
        <v>296</v>
      </c>
      <c r="BK216" t="s">
        <v>73</v>
      </c>
      <c r="BL216" t="s">
        <v>4061</v>
      </c>
      <c r="BM216" t="s">
        <v>4062</v>
      </c>
      <c r="BN216">
        <v>38637991</v>
      </c>
      <c r="BO216" t="s">
        <v>772</v>
      </c>
      <c r="BP216" t="s">
        <v>16</v>
      </c>
      <c r="BQ216" t="s">
        <v>16</v>
      </c>
      <c r="BR216" t="s">
        <v>44</v>
      </c>
      <c r="BS216" t="s">
        <v>4063</v>
      </c>
      <c r="BT216" t="str">
        <f>HYPERLINK("https%3A%2F%2Fwww.webofscience.com%2Fwos%2Fwoscc%2Ffull-record%2FWOS:001255606700001","View Full Record in Web of Science")</f>
        <v>View Full Record in Web of Science</v>
      </c>
    </row>
    <row r="217" spans="1:72" x14ac:dyDescent="0.2">
      <c r="A217" t="s">
        <v>46</v>
      </c>
      <c r="B217" t="s">
        <v>4064</v>
      </c>
      <c r="C217" t="s">
        <v>16</v>
      </c>
      <c r="D217" t="s">
        <v>16</v>
      </c>
      <c r="E217" t="s">
        <v>16</v>
      </c>
      <c r="F217" t="s">
        <v>4064</v>
      </c>
      <c r="G217" t="s">
        <v>16</v>
      </c>
      <c r="H217" t="s">
        <v>16</v>
      </c>
      <c r="I217" t="s">
        <v>4065</v>
      </c>
      <c r="J217" t="s">
        <v>50</v>
      </c>
      <c r="K217" t="s">
        <v>16</v>
      </c>
      <c r="L217" t="s">
        <v>16</v>
      </c>
      <c r="M217" t="s">
        <v>22</v>
      </c>
      <c r="N217" t="s">
        <v>51</v>
      </c>
      <c r="O217" t="s">
        <v>16</v>
      </c>
      <c r="P217" t="s">
        <v>16</v>
      </c>
      <c r="Q217" t="s">
        <v>16</v>
      </c>
      <c r="R217" t="s">
        <v>16</v>
      </c>
      <c r="S217" t="s">
        <v>16</v>
      </c>
      <c r="T217" t="s">
        <v>16</v>
      </c>
      <c r="U217" t="s">
        <v>4066</v>
      </c>
      <c r="V217" t="s">
        <v>4067</v>
      </c>
      <c r="W217" t="s">
        <v>4068</v>
      </c>
      <c r="X217" t="s">
        <v>4069</v>
      </c>
      <c r="Y217" t="s">
        <v>4070</v>
      </c>
      <c r="Z217" t="s">
        <v>16</v>
      </c>
      <c r="AA217" t="s">
        <v>4071</v>
      </c>
      <c r="AB217" t="s">
        <v>4072</v>
      </c>
      <c r="AC217" t="s">
        <v>16</v>
      </c>
      <c r="AD217" t="s">
        <v>16</v>
      </c>
      <c r="AE217" t="s">
        <v>16</v>
      </c>
      <c r="AF217" t="s">
        <v>16</v>
      </c>
      <c r="AG217">
        <v>30</v>
      </c>
      <c r="AH217">
        <v>53</v>
      </c>
      <c r="AI217">
        <v>63</v>
      </c>
      <c r="AJ217">
        <v>0</v>
      </c>
      <c r="AK217">
        <v>12</v>
      </c>
      <c r="AL217" t="s">
        <v>107</v>
      </c>
      <c r="AM217" t="s">
        <v>108</v>
      </c>
      <c r="AN217" t="s">
        <v>109</v>
      </c>
      <c r="AO217" t="s">
        <v>66</v>
      </c>
      <c r="AP217" t="s">
        <v>16</v>
      </c>
      <c r="AQ217" t="s">
        <v>16</v>
      </c>
      <c r="AR217" t="s">
        <v>68</v>
      </c>
      <c r="AS217" t="s">
        <v>69</v>
      </c>
      <c r="AT217" t="s">
        <v>2414</v>
      </c>
      <c r="AU217">
        <v>2000</v>
      </c>
      <c r="AV217">
        <v>40</v>
      </c>
      <c r="AW217">
        <v>2</v>
      </c>
      <c r="AX217" t="s">
        <v>16</v>
      </c>
      <c r="AY217" t="s">
        <v>16</v>
      </c>
      <c r="AZ217" t="s">
        <v>16</v>
      </c>
      <c r="BA217" t="s">
        <v>16</v>
      </c>
      <c r="BB217">
        <v>329</v>
      </c>
      <c r="BC217">
        <v>337</v>
      </c>
      <c r="BD217" t="s">
        <v>16</v>
      </c>
      <c r="BE217" t="s">
        <v>4073</v>
      </c>
      <c r="BF217" t="str">
        <f>HYPERLINK("http://dx.doi.org/10.2135/cropsci2000.402329x","http://dx.doi.org/10.2135/cropsci2000.402329x")</f>
        <v>http://dx.doi.org/10.2135/cropsci2000.402329x</v>
      </c>
      <c r="BG217" t="s">
        <v>16</v>
      </c>
      <c r="BH217" t="s">
        <v>16</v>
      </c>
      <c r="BI217">
        <v>9</v>
      </c>
      <c r="BJ217" t="s">
        <v>40</v>
      </c>
      <c r="BK217" t="s">
        <v>73</v>
      </c>
      <c r="BL217" t="s">
        <v>42</v>
      </c>
      <c r="BM217" t="s">
        <v>4074</v>
      </c>
      <c r="BN217" t="s">
        <v>16</v>
      </c>
      <c r="BO217" t="s">
        <v>1122</v>
      </c>
      <c r="BP217" t="s">
        <v>16</v>
      </c>
      <c r="BQ217" t="s">
        <v>16</v>
      </c>
      <c r="BR217" t="s">
        <v>44</v>
      </c>
      <c r="BS217" t="s">
        <v>4075</v>
      </c>
      <c r="BT217" t="str">
        <f>HYPERLINK("https%3A%2F%2Fwww.webofscience.com%2Fwos%2Fwoscc%2Ffull-record%2FWOS:000089410300004","View Full Record in Web of Science")</f>
        <v>View Full Record in Web of Science</v>
      </c>
    </row>
    <row r="218" spans="1:72" x14ac:dyDescent="0.2">
      <c r="A218" t="s">
        <v>46</v>
      </c>
      <c r="B218" t="s">
        <v>4076</v>
      </c>
      <c r="C218" t="s">
        <v>16</v>
      </c>
      <c r="D218" t="s">
        <v>16</v>
      </c>
      <c r="E218" t="s">
        <v>16</v>
      </c>
      <c r="F218" t="s">
        <v>4077</v>
      </c>
      <c r="G218" t="s">
        <v>16</v>
      </c>
      <c r="H218" t="s">
        <v>16</v>
      </c>
      <c r="I218" t="s">
        <v>4078</v>
      </c>
      <c r="J218" t="s">
        <v>368</v>
      </c>
      <c r="K218" t="s">
        <v>16</v>
      </c>
      <c r="L218" t="s">
        <v>16</v>
      </c>
      <c r="M218" t="s">
        <v>22</v>
      </c>
      <c r="N218" t="s">
        <v>51</v>
      </c>
      <c r="O218" t="s">
        <v>16</v>
      </c>
      <c r="P218" t="s">
        <v>16</v>
      </c>
      <c r="Q218" t="s">
        <v>16</v>
      </c>
      <c r="R218" t="s">
        <v>16</v>
      </c>
      <c r="S218" t="s">
        <v>16</v>
      </c>
      <c r="T218" t="s">
        <v>16</v>
      </c>
      <c r="U218" t="s">
        <v>4079</v>
      </c>
      <c r="V218" t="s">
        <v>4080</v>
      </c>
      <c r="W218" t="s">
        <v>4081</v>
      </c>
      <c r="X218" t="s">
        <v>4082</v>
      </c>
      <c r="Y218" t="s">
        <v>4083</v>
      </c>
      <c r="Z218" t="s">
        <v>4084</v>
      </c>
      <c r="AA218" t="s">
        <v>4085</v>
      </c>
      <c r="AB218" t="s">
        <v>4086</v>
      </c>
      <c r="AC218" t="s">
        <v>4087</v>
      </c>
      <c r="AD218" t="s">
        <v>4088</v>
      </c>
      <c r="AE218" t="s">
        <v>4089</v>
      </c>
      <c r="AF218" t="s">
        <v>16</v>
      </c>
      <c r="AG218">
        <v>43</v>
      </c>
      <c r="AH218">
        <v>38</v>
      </c>
      <c r="AI218">
        <v>40</v>
      </c>
      <c r="AJ218">
        <v>0</v>
      </c>
      <c r="AK218">
        <v>23</v>
      </c>
      <c r="AL218" t="s">
        <v>375</v>
      </c>
      <c r="AM218" t="s">
        <v>376</v>
      </c>
      <c r="AN218" t="s">
        <v>377</v>
      </c>
      <c r="AO218" t="s">
        <v>378</v>
      </c>
      <c r="AP218" t="s">
        <v>379</v>
      </c>
      <c r="AQ218" t="s">
        <v>16</v>
      </c>
      <c r="AR218" t="s">
        <v>368</v>
      </c>
      <c r="AS218" t="s">
        <v>380</v>
      </c>
      <c r="AT218" t="s">
        <v>1164</v>
      </c>
      <c r="AU218">
        <v>2018</v>
      </c>
      <c r="AV218">
        <v>120</v>
      </c>
      <c r="AW218">
        <v>6</v>
      </c>
      <c r="AX218" t="s">
        <v>16</v>
      </c>
      <c r="AY218" t="s">
        <v>16</v>
      </c>
      <c r="AZ218" t="s">
        <v>16</v>
      </c>
      <c r="BA218" t="s">
        <v>16</v>
      </c>
      <c r="BB218">
        <v>500</v>
      </c>
      <c r="BC218">
        <v>514</v>
      </c>
      <c r="BD218" t="s">
        <v>16</v>
      </c>
      <c r="BE218" t="s">
        <v>4090</v>
      </c>
      <c r="BF218" t="str">
        <f>HYPERLINK("http://dx.doi.org/10.1038/s41437-017-0043-0","http://dx.doi.org/10.1038/s41437-017-0043-0")</f>
        <v>http://dx.doi.org/10.1038/s41437-017-0043-0</v>
      </c>
      <c r="BG218" t="s">
        <v>16</v>
      </c>
      <c r="BH218" t="s">
        <v>16</v>
      </c>
      <c r="BI218">
        <v>15</v>
      </c>
      <c r="BJ218" t="s">
        <v>296</v>
      </c>
      <c r="BK218" t="s">
        <v>73</v>
      </c>
      <c r="BL218" t="s">
        <v>383</v>
      </c>
      <c r="BM218" t="s">
        <v>4091</v>
      </c>
      <c r="BN218">
        <v>29426878</v>
      </c>
      <c r="BO218" t="s">
        <v>385</v>
      </c>
      <c r="BP218" t="s">
        <v>16</v>
      </c>
      <c r="BQ218" t="s">
        <v>16</v>
      </c>
      <c r="BR218" t="s">
        <v>44</v>
      </c>
      <c r="BS218" t="s">
        <v>4092</v>
      </c>
      <c r="BT218" t="str">
        <f>HYPERLINK("https%3A%2F%2Fwww.webofscience.com%2Fwos%2Fwoscc%2Ffull-record%2FWOS:000431833200002","View Full Record in Web of Science")</f>
        <v>View Full Record in Web of Science</v>
      </c>
    </row>
    <row r="219" spans="1:72" x14ac:dyDescent="0.2">
      <c r="A219" t="s">
        <v>46</v>
      </c>
      <c r="B219" t="s">
        <v>4093</v>
      </c>
      <c r="C219" t="s">
        <v>16</v>
      </c>
      <c r="D219" t="s">
        <v>16</v>
      </c>
      <c r="E219" t="s">
        <v>16</v>
      </c>
      <c r="F219" t="s">
        <v>4094</v>
      </c>
      <c r="G219" t="s">
        <v>16</v>
      </c>
      <c r="H219" t="s">
        <v>16</v>
      </c>
      <c r="I219" t="s">
        <v>4095</v>
      </c>
      <c r="J219" t="s">
        <v>4096</v>
      </c>
      <c r="K219" t="s">
        <v>16</v>
      </c>
      <c r="L219" t="s">
        <v>16</v>
      </c>
      <c r="M219" t="s">
        <v>22</v>
      </c>
      <c r="N219" t="s">
        <v>51</v>
      </c>
      <c r="O219" t="s">
        <v>16</v>
      </c>
      <c r="P219" t="s">
        <v>16</v>
      </c>
      <c r="Q219" t="s">
        <v>16</v>
      </c>
      <c r="R219" t="s">
        <v>16</v>
      </c>
      <c r="S219" t="s">
        <v>16</v>
      </c>
      <c r="T219" t="s">
        <v>4097</v>
      </c>
      <c r="U219" t="s">
        <v>4098</v>
      </c>
      <c r="V219" t="s">
        <v>4099</v>
      </c>
      <c r="W219" t="s">
        <v>4100</v>
      </c>
      <c r="X219" t="s">
        <v>1525</v>
      </c>
      <c r="Y219" t="s">
        <v>4101</v>
      </c>
      <c r="Z219" t="s">
        <v>4102</v>
      </c>
      <c r="AA219" t="s">
        <v>4103</v>
      </c>
      <c r="AB219" t="s">
        <v>4104</v>
      </c>
      <c r="AC219" t="s">
        <v>4105</v>
      </c>
      <c r="AD219" t="s">
        <v>4106</v>
      </c>
      <c r="AE219" t="s">
        <v>4107</v>
      </c>
      <c r="AF219" t="s">
        <v>16</v>
      </c>
      <c r="AG219">
        <v>32</v>
      </c>
      <c r="AH219">
        <v>1</v>
      </c>
      <c r="AI219">
        <v>1</v>
      </c>
      <c r="AJ219">
        <v>0</v>
      </c>
      <c r="AK219">
        <v>1</v>
      </c>
      <c r="AL219" t="s">
        <v>4108</v>
      </c>
      <c r="AM219" t="s">
        <v>4109</v>
      </c>
      <c r="AN219" t="s">
        <v>4110</v>
      </c>
      <c r="AO219" t="s">
        <v>4111</v>
      </c>
      <c r="AP219" t="s">
        <v>4112</v>
      </c>
      <c r="AQ219" t="s">
        <v>16</v>
      </c>
      <c r="AR219" t="s">
        <v>4096</v>
      </c>
      <c r="AS219" t="s">
        <v>4113</v>
      </c>
      <c r="AT219" t="s">
        <v>1233</v>
      </c>
      <c r="AU219">
        <v>2024</v>
      </c>
      <c r="AV219">
        <v>26</v>
      </c>
      <c r="AW219">
        <v>2</v>
      </c>
      <c r="AX219" t="s">
        <v>16</v>
      </c>
      <c r="AY219" t="s">
        <v>16</v>
      </c>
      <c r="AZ219" t="s">
        <v>16</v>
      </c>
      <c r="BA219" t="s">
        <v>16</v>
      </c>
      <c r="BB219">
        <v>387</v>
      </c>
      <c r="BC219">
        <v>395</v>
      </c>
      <c r="BD219" t="s">
        <v>16</v>
      </c>
      <c r="BE219" t="s">
        <v>4114</v>
      </c>
      <c r="BF219" t="str">
        <f>HYPERLINK("http://dx.doi.org/10.1007/s12355-024-01375-3","http://dx.doi.org/10.1007/s12355-024-01375-3")</f>
        <v>http://dx.doi.org/10.1007/s12355-024-01375-3</v>
      </c>
      <c r="BG219" t="s">
        <v>16</v>
      </c>
      <c r="BH219" t="s">
        <v>4115</v>
      </c>
      <c r="BI219">
        <v>9</v>
      </c>
      <c r="BJ219" t="s">
        <v>40</v>
      </c>
      <c r="BK219" t="s">
        <v>73</v>
      </c>
      <c r="BL219" t="s">
        <v>42</v>
      </c>
      <c r="BM219" t="s">
        <v>4116</v>
      </c>
      <c r="BN219" t="s">
        <v>16</v>
      </c>
      <c r="BO219" t="s">
        <v>16</v>
      </c>
      <c r="BP219" t="s">
        <v>16</v>
      </c>
      <c r="BQ219" t="s">
        <v>16</v>
      </c>
      <c r="BR219" t="s">
        <v>44</v>
      </c>
      <c r="BS219" t="s">
        <v>4117</v>
      </c>
      <c r="BT219" t="str">
        <f>HYPERLINK("https%3A%2F%2Fwww.webofscience.com%2Fwos%2Fwoscc%2Ffull-record%2FWOS:001175299800001","View Full Record in Web of Science")</f>
        <v>View Full Record in Web of Science</v>
      </c>
    </row>
    <row r="220" spans="1:72" x14ac:dyDescent="0.2">
      <c r="A220" t="s">
        <v>46</v>
      </c>
      <c r="B220" t="s">
        <v>4118</v>
      </c>
      <c r="C220" t="s">
        <v>16</v>
      </c>
      <c r="D220" t="s">
        <v>16</v>
      </c>
      <c r="E220" t="s">
        <v>16</v>
      </c>
      <c r="F220" t="s">
        <v>4119</v>
      </c>
      <c r="G220" t="s">
        <v>16</v>
      </c>
      <c r="H220" t="s">
        <v>16</v>
      </c>
      <c r="I220" t="s">
        <v>4120</v>
      </c>
      <c r="J220" t="s">
        <v>3301</v>
      </c>
      <c r="K220" t="s">
        <v>16</v>
      </c>
      <c r="L220" t="s">
        <v>16</v>
      </c>
      <c r="M220" t="s">
        <v>22</v>
      </c>
      <c r="N220" t="s">
        <v>118</v>
      </c>
      <c r="O220" t="s">
        <v>16</v>
      </c>
      <c r="P220" t="s">
        <v>16</v>
      </c>
      <c r="Q220" t="s">
        <v>16</v>
      </c>
      <c r="R220" t="s">
        <v>16</v>
      </c>
      <c r="S220" t="s">
        <v>16</v>
      </c>
      <c r="T220" t="s">
        <v>4121</v>
      </c>
      <c r="U220" t="s">
        <v>4122</v>
      </c>
      <c r="V220" t="s">
        <v>4123</v>
      </c>
      <c r="W220" t="s">
        <v>4124</v>
      </c>
      <c r="X220" t="s">
        <v>4125</v>
      </c>
      <c r="Y220" t="s">
        <v>4126</v>
      </c>
      <c r="Z220" t="s">
        <v>4127</v>
      </c>
      <c r="AA220" t="s">
        <v>4128</v>
      </c>
      <c r="AB220" t="s">
        <v>4129</v>
      </c>
      <c r="AC220" t="s">
        <v>16</v>
      </c>
      <c r="AD220" t="s">
        <v>16</v>
      </c>
      <c r="AE220" t="s">
        <v>16</v>
      </c>
      <c r="AF220" t="s">
        <v>16</v>
      </c>
      <c r="AG220">
        <v>98</v>
      </c>
      <c r="AH220">
        <v>67</v>
      </c>
      <c r="AI220">
        <v>70</v>
      </c>
      <c r="AJ220">
        <v>0</v>
      </c>
      <c r="AK220">
        <v>50</v>
      </c>
      <c r="AL220" t="s">
        <v>63</v>
      </c>
      <c r="AM220" t="s">
        <v>64</v>
      </c>
      <c r="AN220" t="s">
        <v>65</v>
      </c>
      <c r="AO220" t="s">
        <v>3311</v>
      </c>
      <c r="AP220" t="s">
        <v>3312</v>
      </c>
      <c r="AQ220" t="s">
        <v>16</v>
      </c>
      <c r="AR220" t="s">
        <v>3313</v>
      </c>
      <c r="AS220" t="s">
        <v>3314</v>
      </c>
      <c r="AT220" t="s">
        <v>1533</v>
      </c>
      <c r="AU220">
        <v>2011</v>
      </c>
      <c r="AV220">
        <v>60</v>
      </c>
      <c r="AW220">
        <v>1</v>
      </c>
      <c r="AX220" t="s">
        <v>16</v>
      </c>
      <c r="AY220" t="s">
        <v>16</v>
      </c>
      <c r="AZ220" t="s">
        <v>16</v>
      </c>
      <c r="BA220" t="s">
        <v>16</v>
      </c>
      <c r="BB220">
        <v>70</v>
      </c>
      <c r="BC220">
        <v>81</v>
      </c>
      <c r="BD220" t="s">
        <v>16</v>
      </c>
      <c r="BE220" t="s">
        <v>4130</v>
      </c>
      <c r="BF220" t="str">
        <f>HYPERLINK("http://dx.doi.org/10.1111/j.1365-3059.2010.02408.x","http://dx.doi.org/10.1111/j.1365-3059.2010.02408.x")</f>
        <v>http://dx.doi.org/10.1111/j.1365-3059.2010.02408.x</v>
      </c>
      <c r="BG220" t="s">
        <v>16</v>
      </c>
      <c r="BH220" t="s">
        <v>16</v>
      </c>
      <c r="BI220">
        <v>12</v>
      </c>
      <c r="BJ220" t="s">
        <v>92</v>
      </c>
      <c r="BK220" t="s">
        <v>73</v>
      </c>
      <c r="BL220" t="s">
        <v>94</v>
      </c>
      <c r="BM220" t="s">
        <v>4131</v>
      </c>
      <c r="BN220" t="s">
        <v>16</v>
      </c>
      <c r="BO220" t="s">
        <v>666</v>
      </c>
      <c r="BP220" t="s">
        <v>16</v>
      </c>
      <c r="BQ220" t="s">
        <v>16</v>
      </c>
      <c r="BR220" t="s">
        <v>44</v>
      </c>
      <c r="BS220" t="s">
        <v>4132</v>
      </c>
      <c r="BT220" t="str">
        <f>HYPERLINK("https%3A%2F%2Fwww.webofscience.com%2Fwos%2Fwoscc%2Ffull-record%2FWOS:000286114700007","View Full Record in Web of Science")</f>
        <v>View Full Record in Web of Science</v>
      </c>
    </row>
    <row r="221" spans="1:72" x14ac:dyDescent="0.2">
      <c r="A221" t="s">
        <v>46</v>
      </c>
      <c r="B221" t="s">
        <v>4133</v>
      </c>
      <c r="C221" t="s">
        <v>16</v>
      </c>
      <c r="D221" t="s">
        <v>16</v>
      </c>
      <c r="E221" t="s">
        <v>16</v>
      </c>
      <c r="F221" t="s">
        <v>4134</v>
      </c>
      <c r="G221" t="s">
        <v>16</v>
      </c>
      <c r="H221" t="s">
        <v>16</v>
      </c>
      <c r="I221" t="s">
        <v>4135</v>
      </c>
      <c r="J221" t="s">
        <v>4136</v>
      </c>
      <c r="K221" t="s">
        <v>16</v>
      </c>
      <c r="L221" t="s">
        <v>16</v>
      </c>
      <c r="M221" t="s">
        <v>22</v>
      </c>
      <c r="N221" t="s">
        <v>51</v>
      </c>
      <c r="O221" t="s">
        <v>16</v>
      </c>
      <c r="P221" t="s">
        <v>16</v>
      </c>
      <c r="Q221" t="s">
        <v>16</v>
      </c>
      <c r="R221" t="s">
        <v>16</v>
      </c>
      <c r="S221" t="s">
        <v>16</v>
      </c>
      <c r="T221" t="s">
        <v>4137</v>
      </c>
      <c r="U221" t="s">
        <v>4138</v>
      </c>
      <c r="V221" t="s">
        <v>4139</v>
      </c>
      <c r="W221" t="s">
        <v>4140</v>
      </c>
      <c r="X221" t="s">
        <v>4141</v>
      </c>
      <c r="Y221" t="s">
        <v>4142</v>
      </c>
      <c r="Z221" t="s">
        <v>4143</v>
      </c>
      <c r="AA221" t="s">
        <v>16</v>
      </c>
      <c r="AB221" t="s">
        <v>4144</v>
      </c>
      <c r="AC221" t="s">
        <v>4145</v>
      </c>
      <c r="AD221" t="s">
        <v>4146</v>
      </c>
      <c r="AE221" t="s">
        <v>4147</v>
      </c>
      <c r="AF221" t="s">
        <v>16</v>
      </c>
      <c r="AG221">
        <v>54</v>
      </c>
      <c r="AH221">
        <v>125</v>
      </c>
      <c r="AI221">
        <v>129</v>
      </c>
      <c r="AJ221">
        <v>2</v>
      </c>
      <c r="AK221">
        <v>22</v>
      </c>
      <c r="AL221" t="s">
        <v>63</v>
      </c>
      <c r="AM221" t="s">
        <v>64</v>
      </c>
      <c r="AN221" t="s">
        <v>65</v>
      </c>
      <c r="AO221" t="s">
        <v>4148</v>
      </c>
      <c r="AP221" t="s">
        <v>4149</v>
      </c>
      <c r="AQ221" t="s">
        <v>16</v>
      </c>
      <c r="AR221" t="s">
        <v>4150</v>
      </c>
      <c r="AS221" t="s">
        <v>4151</v>
      </c>
      <c r="AT221" t="s">
        <v>812</v>
      </c>
      <c r="AU221">
        <v>2017</v>
      </c>
      <c r="AV221">
        <v>171</v>
      </c>
      <c r="AW221">
        <v>2</v>
      </c>
      <c r="AX221" t="s">
        <v>16</v>
      </c>
      <c r="AY221" t="s">
        <v>16</v>
      </c>
      <c r="AZ221" t="s">
        <v>16</v>
      </c>
      <c r="BA221" t="s">
        <v>16</v>
      </c>
      <c r="BB221">
        <v>139</v>
      </c>
      <c r="BC221">
        <v>154</v>
      </c>
      <c r="BD221" t="s">
        <v>16</v>
      </c>
      <c r="BE221" t="s">
        <v>4152</v>
      </c>
      <c r="BF221" t="str">
        <f>HYPERLINK("http://dx.doi.org/10.1111/aab.12362","http://dx.doi.org/10.1111/aab.12362")</f>
        <v>http://dx.doi.org/10.1111/aab.12362</v>
      </c>
      <c r="BG221" t="s">
        <v>16</v>
      </c>
      <c r="BH221" t="s">
        <v>16</v>
      </c>
      <c r="BI221">
        <v>16</v>
      </c>
      <c r="BJ221" t="s">
        <v>296</v>
      </c>
      <c r="BK221" t="s">
        <v>73</v>
      </c>
      <c r="BL221" t="s">
        <v>42</v>
      </c>
      <c r="BM221" t="s">
        <v>4153</v>
      </c>
      <c r="BN221" t="s">
        <v>16</v>
      </c>
      <c r="BO221" t="s">
        <v>16</v>
      </c>
      <c r="BP221" t="s">
        <v>16</v>
      </c>
      <c r="BQ221" t="s">
        <v>16</v>
      </c>
      <c r="BR221" t="s">
        <v>44</v>
      </c>
      <c r="BS221" t="s">
        <v>4154</v>
      </c>
      <c r="BT221" t="str">
        <f>HYPERLINK("https%3A%2F%2Fwww.webofscience.com%2Fwos%2Fwoscc%2Ffull-record%2FWOS:000407907600002","View Full Record in Web of Science")</f>
        <v>View Full Record in Web of Science</v>
      </c>
    </row>
    <row r="222" spans="1:72" x14ac:dyDescent="0.2">
      <c r="A222" t="s">
        <v>46</v>
      </c>
      <c r="B222" t="s">
        <v>4155</v>
      </c>
      <c r="C222" t="s">
        <v>16</v>
      </c>
      <c r="D222" t="s">
        <v>16</v>
      </c>
      <c r="E222" t="s">
        <v>16</v>
      </c>
      <c r="F222" t="s">
        <v>4156</v>
      </c>
      <c r="G222" t="s">
        <v>16</v>
      </c>
      <c r="H222" t="s">
        <v>16</v>
      </c>
      <c r="I222" t="s">
        <v>4157</v>
      </c>
      <c r="J222" t="s">
        <v>197</v>
      </c>
      <c r="K222" t="s">
        <v>16</v>
      </c>
      <c r="L222" t="s">
        <v>16</v>
      </c>
      <c r="M222" t="s">
        <v>22</v>
      </c>
      <c r="N222" t="s">
        <v>118</v>
      </c>
      <c r="O222" t="s">
        <v>16</v>
      </c>
      <c r="P222" t="s">
        <v>16</v>
      </c>
      <c r="Q222" t="s">
        <v>16</v>
      </c>
      <c r="R222" t="s">
        <v>16</v>
      </c>
      <c r="S222" t="s">
        <v>16</v>
      </c>
      <c r="T222" t="s">
        <v>4158</v>
      </c>
      <c r="U222" t="s">
        <v>4159</v>
      </c>
      <c r="V222" t="s">
        <v>4160</v>
      </c>
      <c r="W222" t="s">
        <v>4161</v>
      </c>
      <c r="X222" t="s">
        <v>4162</v>
      </c>
      <c r="Y222" t="s">
        <v>2612</v>
      </c>
      <c r="Z222" t="s">
        <v>2613</v>
      </c>
      <c r="AA222" t="s">
        <v>16</v>
      </c>
      <c r="AB222" t="s">
        <v>16</v>
      </c>
      <c r="AC222" t="s">
        <v>16</v>
      </c>
      <c r="AD222" t="s">
        <v>16</v>
      </c>
      <c r="AE222" t="s">
        <v>16</v>
      </c>
      <c r="AF222" t="s">
        <v>16</v>
      </c>
      <c r="AG222">
        <v>104</v>
      </c>
      <c r="AH222">
        <v>37</v>
      </c>
      <c r="AI222">
        <v>39</v>
      </c>
      <c r="AJ222">
        <v>2</v>
      </c>
      <c r="AK222">
        <v>30</v>
      </c>
      <c r="AL222" t="s">
        <v>206</v>
      </c>
      <c r="AM222" t="s">
        <v>207</v>
      </c>
      <c r="AN222" t="s">
        <v>208</v>
      </c>
      <c r="AO222" t="s">
        <v>209</v>
      </c>
      <c r="AP222" t="s">
        <v>16</v>
      </c>
      <c r="AQ222" t="s">
        <v>16</v>
      </c>
      <c r="AR222" t="s">
        <v>210</v>
      </c>
      <c r="AS222" t="s">
        <v>211</v>
      </c>
      <c r="AT222" t="s">
        <v>4163</v>
      </c>
      <c r="AU222">
        <v>2020</v>
      </c>
      <c r="AV222">
        <v>11</v>
      </c>
      <c r="AW222" t="s">
        <v>16</v>
      </c>
      <c r="AX222" t="s">
        <v>16</v>
      </c>
      <c r="AY222" t="s">
        <v>16</v>
      </c>
      <c r="AZ222" t="s">
        <v>16</v>
      </c>
      <c r="BA222" t="s">
        <v>16</v>
      </c>
      <c r="BB222" t="s">
        <v>16</v>
      </c>
      <c r="BC222" t="s">
        <v>16</v>
      </c>
      <c r="BD222">
        <v>737</v>
      </c>
      <c r="BE222" t="s">
        <v>4164</v>
      </c>
      <c r="BF222" t="str">
        <f>HYPERLINK("http://dx.doi.org/10.3389/fpls.2020.00737","http://dx.doi.org/10.3389/fpls.2020.00737")</f>
        <v>http://dx.doi.org/10.3389/fpls.2020.00737</v>
      </c>
      <c r="BG222" t="s">
        <v>16</v>
      </c>
      <c r="BH222" t="s">
        <v>16</v>
      </c>
      <c r="BI222">
        <v>12</v>
      </c>
      <c r="BJ222" t="s">
        <v>214</v>
      </c>
      <c r="BK222" t="s">
        <v>73</v>
      </c>
      <c r="BL222" t="s">
        <v>214</v>
      </c>
      <c r="BM222" t="s">
        <v>4165</v>
      </c>
      <c r="BN222">
        <v>32595666</v>
      </c>
      <c r="BO222" t="s">
        <v>216</v>
      </c>
      <c r="BP222" t="s">
        <v>16</v>
      </c>
      <c r="BQ222" t="s">
        <v>16</v>
      </c>
      <c r="BR222" t="s">
        <v>44</v>
      </c>
      <c r="BS222" t="s">
        <v>4166</v>
      </c>
      <c r="BT222" t="str">
        <f>HYPERLINK("https%3A%2F%2Fwww.webofscience.com%2Fwos%2Fwoscc%2Ffull-record%2FWOS:000543831900001","View Full Record in Web of Science")</f>
        <v>View Full Record in Web of Science</v>
      </c>
    </row>
    <row r="223" spans="1:72" x14ac:dyDescent="0.2">
      <c r="A223" t="s">
        <v>46</v>
      </c>
      <c r="B223" t="s">
        <v>4167</v>
      </c>
      <c r="C223" t="s">
        <v>16</v>
      </c>
      <c r="D223" t="s">
        <v>16</v>
      </c>
      <c r="E223" t="s">
        <v>16</v>
      </c>
      <c r="F223" t="s">
        <v>4168</v>
      </c>
      <c r="G223" t="s">
        <v>16</v>
      </c>
      <c r="H223" t="s">
        <v>16</v>
      </c>
      <c r="I223" t="s">
        <v>4169</v>
      </c>
      <c r="J223" t="s">
        <v>4170</v>
      </c>
      <c r="K223" t="s">
        <v>16</v>
      </c>
      <c r="L223" t="s">
        <v>16</v>
      </c>
      <c r="M223" t="s">
        <v>22</v>
      </c>
      <c r="N223" t="s">
        <v>51</v>
      </c>
      <c r="O223" t="s">
        <v>16</v>
      </c>
      <c r="P223" t="s">
        <v>16</v>
      </c>
      <c r="Q223" t="s">
        <v>16</v>
      </c>
      <c r="R223" t="s">
        <v>16</v>
      </c>
      <c r="S223" t="s">
        <v>16</v>
      </c>
      <c r="T223" t="s">
        <v>4171</v>
      </c>
      <c r="U223" t="s">
        <v>4172</v>
      </c>
      <c r="V223" t="s">
        <v>4173</v>
      </c>
      <c r="W223" t="s">
        <v>4174</v>
      </c>
      <c r="X223" t="s">
        <v>4175</v>
      </c>
      <c r="Y223" t="s">
        <v>4176</v>
      </c>
      <c r="Z223" t="s">
        <v>4177</v>
      </c>
      <c r="AA223" t="s">
        <v>4178</v>
      </c>
      <c r="AB223" t="s">
        <v>4179</v>
      </c>
      <c r="AC223" t="s">
        <v>4180</v>
      </c>
      <c r="AD223" t="s">
        <v>4181</v>
      </c>
      <c r="AE223" t="s">
        <v>4182</v>
      </c>
      <c r="AF223" t="s">
        <v>16</v>
      </c>
      <c r="AG223">
        <v>63</v>
      </c>
      <c r="AH223">
        <v>8</v>
      </c>
      <c r="AI223">
        <v>8</v>
      </c>
      <c r="AJ223">
        <v>0</v>
      </c>
      <c r="AK223">
        <v>10</v>
      </c>
      <c r="AL223" t="s">
        <v>63</v>
      </c>
      <c r="AM223" t="s">
        <v>64</v>
      </c>
      <c r="AN223" t="s">
        <v>65</v>
      </c>
      <c r="AO223" t="s">
        <v>4183</v>
      </c>
      <c r="AP223" t="s">
        <v>16</v>
      </c>
      <c r="AQ223" t="s">
        <v>16</v>
      </c>
      <c r="AR223" t="s">
        <v>4184</v>
      </c>
      <c r="AS223" t="s">
        <v>4185</v>
      </c>
      <c r="AT223" t="s">
        <v>419</v>
      </c>
      <c r="AU223">
        <v>2020</v>
      </c>
      <c r="AV223">
        <v>9</v>
      </c>
      <c r="AW223">
        <v>3</v>
      </c>
      <c r="AX223" t="s">
        <v>16</v>
      </c>
      <c r="AY223" t="s">
        <v>16</v>
      </c>
      <c r="AZ223" t="s">
        <v>16</v>
      </c>
      <c r="BA223" t="s">
        <v>16</v>
      </c>
      <c r="BB223" t="s">
        <v>16</v>
      </c>
      <c r="BC223" t="s">
        <v>16</v>
      </c>
      <c r="BD223" t="s">
        <v>4186</v>
      </c>
      <c r="BE223" t="s">
        <v>4187</v>
      </c>
      <c r="BF223" t="str">
        <f>HYPERLINK("http://dx.doi.org/10.1002/fes3.209","http://dx.doi.org/10.1002/fes3.209")</f>
        <v>http://dx.doi.org/10.1002/fes3.209</v>
      </c>
      <c r="BG223" t="s">
        <v>16</v>
      </c>
      <c r="BH223" t="s">
        <v>4188</v>
      </c>
      <c r="BI223">
        <v>15</v>
      </c>
      <c r="BJ223" t="s">
        <v>296</v>
      </c>
      <c r="BK223" t="s">
        <v>73</v>
      </c>
      <c r="BL223" t="s">
        <v>4189</v>
      </c>
      <c r="BM223" t="s">
        <v>4190</v>
      </c>
      <c r="BN223">
        <v>32999716</v>
      </c>
      <c r="BO223" t="s">
        <v>216</v>
      </c>
      <c r="BP223" t="s">
        <v>16</v>
      </c>
      <c r="BQ223" t="s">
        <v>16</v>
      </c>
      <c r="BR223" t="s">
        <v>44</v>
      </c>
      <c r="BS223" t="s">
        <v>4191</v>
      </c>
      <c r="BT223" t="str">
        <f>HYPERLINK("https%3A%2F%2Fwww.webofscience.com%2Fwos%2Fwoscc%2Ffull-record%2FWOS:000534616600001","View Full Record in Web of Science")</f>
        <v>View Full Record in Web of Science</v>
      </c>
    </row>
    <row r="224" spans="1:72" x14ac:dyDescent="0.2">
      <c r="A224" t="s">
        <v>46</v>
      </c>
      <c r="B224" t="s">
        <v>4192</v>
      </c>
      <c r="C224" t="s">
        <v>16</v>
      </c>
      <c r="D224" t="s">
        <v>16</v>
      </c>
      <c r="E224" t="s">
        <v>16</v>
      </c>
      <c r="F224" t="s">
        <v>4193</v>
      </c>
      <c r="G224" t="s">
        <v>16</v>
      </c>
      <c r="H224" t="s">
        <v>16</v>
      </c>
      <c r="I224" t="s">
        <v>4194</v>
      </c>
      <c r="J224" t="s">
        <v>1541</v>
      </c>
      <c r="K224" t="s">
        <v>16</v>
      </c>
      <c r="L224" t="s">
        <v>16</v>
      </c>
      <c r="M224" t="s">
        <v>22</v>
      </c>
      <c r="N224" t="s">
        <v>51</v>
      </c>
      <c r="O224" t="s">
        <v>16</v>
      </c>
      <c r="P224" t="s">
        <v>16</v>
      </c>
      <c r="Q224" t="s">
        <v>16</v>
      </c>
      <c r="R224" t="s">
        <v>16</v>
      </c>
      <c r="S224" t="s">
        <v>16</v>
      </c>
      <c r="T224" t="s">
        <v>16</v>
      </c>
      <c r="U224" t="s">
        <v>4195</v>
      </c>
      <c r="V224" t="s">
        <v>4196</v>
      </c>
      <c r="W224" t="s">
        <v>4197</v>
      </c>
      <c r="X224" t="s">
        <v>4198</v>
      </c>
      <c r="Y224" t="s">
        <v>4199</v>
      </c>
      <c r="Z224" t="s">
        <v>4200</v>
      </c>
      <c r="AA224" t="s">
        <v>4201</v>
      </c>
      <c r="AB224" t="s">
        <v>4202</v>
      </c>
      <c r="AC224" t="s">
        <v>4203</v>
      </c>
      <c r="AD224" t="s">
        <v>4204</v>
      </c>
      <c r="AE224" t="s">
        <v>4205</v>
      </c>
      <c r="AF224" t="s">
        <v>16</v>
      </c>
      <c r="AG224">
        <v>81</v>
      </c>
      <c r="AH224">
        <v>32</v>
      </c>
      <c r="AI224">
        <v>34</v>
      </c>
      <c r="AJ224">
        <v>1</v>
      </c>
      <c r="AK224">
        <v>55</v>
      </c>
      <c r="AL224" t="s">
        <v>1553</v>
      </c>
      <c r="AM224" t="s">
        <v>1554</v>
      </c>
      <c r="AN224" t="s">
        <v>1555</v>
      </c>
      <c r="AO224" t="s">
        <v>1556</v>
      </c>
      <c r="AP224" t="s">
        <v>16</v>
      </c>
      <c r="AQ224" t="s">
        <v>16</v>
      </c>
      <c r="AR224" t="s">
        <v>1541</v>
      </c>
      <c r="AS224" t="s">
        <v>1557</v>
      </c>
      <c r="AT224" t="s">
        <v>1349</v>
      </c>
      <c r="AU224">
        <v>2014</v>
      </c>
      <c r="AV224">
        <v>9</v>
      </c>
      <c r="AW224">
        <v>11</v>
      </c>
      <c r="AX224" t="s">
        <v>16</v>
      </c>
      <c r="AY224" t="s">
        <v>16</v>
      </c>
      <c r="AZ224" t="s">
        <v>16</v>
      </c>
      <c r="BA224" t="s">
        <v>16</v>
      </c>
      <c r="BB224" t="s">
        <v>16</v>
      </c>
      <c r="BC224" t="s">
        <v>16</v>
      </c>
      <c r="BD224" t="s">
        <v>4206</v>
      </c>
      <c r="BE224" t="s">
        <v>4207</v>
      </c>
      <c r="BF224" t="str">
        <f>HYPERLINK("http://dx.doi.org/10.1371/journal.pone.0110436","http://dx.doi.org/10.1371/journal.pone.0110436")</f>
        <v>http://dx.doi.org/10.1371/journal.pone.0110436</v>
      </c>
      <c r="BG224" t="s">
        <v>16</v>
      </c>
      <c r="BH224" t="s">
        <v>16</v>
      </c>
      <c r="BI224">
        <v>14</v>
      </c>
      <c r="BJ224" t="s">
        <v>296</v>
      </c>
      <c r="BK224" t="s">
        <v>73</v>
      </c>
      <c r="BL224" t="s">
        <v>297</v>
      </c>
      <c r="BM224" t="s">
        <v>4208</v>
      </c>
      <c r="BN224">
        <v>25365338</v>
      </c>
      <c r="BO224" t="s">
        <v>216</v>
      </c>
      <c r="BP224" t="s">
        <v>16</v>
      </c>
      <c r="BQ224" t="s">
        <v>16</v>
      </c>
      <c r="BR224" t="s">
        <v>44</v>
      </c>
      <c r="BS224" t="s">
        <v>4209</v>
      </c>
      <c r="BT224" t="str">
        <f>HYPERLINK("https%3A%2F%2Fwww.webofscience.com%2Fwos%2Fwoscc%2Ffull-record%2FWOS:000345558100021","View Full Record in Web of Science")</f>
        <v>View Full Record in Web of Science</v>
      </c>
    </row>
    <row r="225" spans="1:72" x14ac:dyDescent="0.2">
      <c r="A225" t="s">
        <v>46</v>
      </c>
      <c r="B225" t="s">
        <v>4210</v>
      </c>
      <c r="C225" t="s">
        <v>16</v>
      </c>
      <c r="D225" t="s">
        <v>16</v>
      </c>
      <c r="E225" t="s">
        <v>16</v>
      </c>
      <c r="F225" t="s">
        <v>4211</v>
      </c>
      <c r="G225" t="s">
        <v>16</v>
      </c>
      <c r="H225" t="s">
        <v>16</v>
      </c>
      <c r="I225" t="s">
        <v>4212</v>
      </c>
      <c r="J225" t="s">
        <v>117</v>
      </c>
      <c r="K225" t="s">
        <v>16</v>
      </c>
      <c r="L225" t="s">
        <v>16</v>
      </c>
      <c r="M225" t="s">
        <v>22</v>
      </c>
      <c r="N225" t="s">
        <v>51</v>
      </c>
      <c r="O225" t="s">
        <v>16</v>
      </c>
      <c r="P225" t="s">
        <v>16</v>
      </c>
      <c r="Q225" t="s">
        <v>16</v>
      </c>
      <c r="R225" t="s">
        <v>16</v>
      </c>
      <c r="S225" t="s">
        <v>16</v>
      </c>
      <c r="T225" t="s">
        <v>16</v>
      </c>
      <c r="U225" t="s">
        <v>4213</v>
      </c>
      <c r="V225" t="s">
        <v>4214</v>
      </c>
      <c r="W225" t="s">
        <v>4215</v>
      </c>
      <c r="X225" t="s">
        <v>4216</v>
      </c>
      <c r="Y225" t="s">
        <v>4217</v>
      </c>
      <c r="Z225" t="s">
        <v>4218</v>
      </c>
      <c r="AA225" t="s">
        <v>4219</v>
      </c>
      <c r="AB225" t="s">
        <v>4220</v>
      </c>
      <c r="AC225" t="s">
        <v>16</v>
      </c>
      <c r="AD225" t="s">
        <v>16</v>
      </c>
      <c r="AE225" t="s">
        <v>16</v>
      </c>
      <c r="AF225" t="s">
        <v>16</v>
      </c>
      <c r="AG225">
        <v>63</v>
      </c>
      <c r="AH225">
        <v>22</v>
      </c>
      <c r="AI225">
        <v>30</v>
      </c>
      <c r="AJ225">
        <v>0</v>
      </c>
      <c r="AK225">
        <v>18</v>
      </c>
      <c r="AL225" t="s">
        <v>128</v>
      </c>
      <c r="AM225" t="s">
        <v>129</v>
      </c>
      <c r="AN225" t="s">
        <v>130</v>
      </c>
      <c r="AO225" t="s">
        <v>131</v>
      </c>
      <c r="AP225" t="s">
        <v>132</v>
      </c>
      <c r="AQ225" t="s">
        <v>16</v>
      </c>
      <c r="AR225" t="s">
        <v>133</v>
      </c>
      <c r="AS225" t="s">
        <v>134</v>
      </c>
      <c r="AT225" t="s">
        <v>419</v>
      </c>
      <c r="AU225">
        <v>2009</v>
      </c>
      <c r="AV225">
        <v>119</v>
      </c>
      <c r="AW225">
        <v>4</v>
      </c>
      <c r="AX225" t="s">
        <v>16</v>
      </c>
      <c r="AY225" t="s">
        <v>16</v>
      </c>
      <c r="AZ225" t="s">
        <v>16</v>
      </c>
      <c r="BA225" t="s">
        <v>16</v>
      </c>
      <c r="BB225">
        <v>621</v>
      </c>
      <c r="BC225">
        <v>634</v>
      </c>
      <c r="BD225" t="s">
        <v>16</v>
      </c>
      <c r="BE225" t="s">
        <v>4221</v>
      </c>
      <c r="BF225" t="str">
        <f>HYPERLINK("http://dx.doi.org/10.1007/s00122-009-1072-8","http://dx.doi.org/10.1007/s00122-009-1072-8")</f>
        <v>http://dx.doi.org/10.1007/s00122-009-1072-8</v>
      </c>
      <c r="BG225" t="s">
        <v>16</v>
      </c>
      <c r="BH225" t="s">
        <v>16</v>
      </c>
      <c r="BI225">
        <v>14</v>
      </c>
      <c r="BJ225" t="s">
        <v>296</v>
      </c>
      <c r="BK225" t="s">
        <v>73</v>
      </c>
      <c r="BL225" t="s">
        <v>137</v>
      </c>
      <c r="BM225" t="s">
        <v>4222</v>
      </c>
      <c r="BN225">
        <v>19484431</v>
      </c>
      <c r="BO225" t="s">
        <v>16</v>
      </c>
      <c r="BP225" t="s">
        <v>16</v>
      </c>
      <c r="BQ225" t="s">
        <v>16</v>
      </c>
      <c r="BR225" t="s">
        <v>44</v>
      </c>
      <c r="BS225" t="s">
        <v>4223</v>
      </c>
      <c r="BT225" t="str">
        <f>HYPERLINK("https%3A%2F%2Fwww.webofscience.com%2Fwos%2Fwoscc%2Ffull-record%2FWOS:000268747200006","View Full Record in Web of Science")</f>
        <v>View Full Record in Web of Science</v>
      </c>
    </row>
    <row r="226" spans="1:72" x14ac:dyDescent="0.2">
      <c r="A226" t="s">
        <v>46</v>
      </c>
      <c r="B226" t="s">
        <v>4224</v>
      </c>
      <c r="C226" t="s">
        <v>16</v>
      </c>
      <c r="D226" t="s">
        <v>16</v>
      </c>
      <c r="E226" t="s">
        <v>16</v>
      </c>
      <c r="F226" t="s">
        <v>4225</v>
      </c>
      <c r="G226" t="s">
        <v>16</v>
      </c>
      <c r="H226" t="s">
        <v>16</v>
      </c>
      <c r="I226" t="s">
        <v>4226</v>
      </c>
      <c r="J226" t="s">
        <v>50</v>
      </c>
      <c r="K226" t="s">
        <v>16</v>
      </c>
      <c r="L226" t="s">
        <v>16</v>
      </c>
      <c r="M226" t="s">
        <v>22</v>
      </c>
      <c r="N226" t="s">
        <v>51</v>
      </c>
      <c r="O226" t="s">
        <v>16</v>
      </c>
      <c r="P226" t="s">
        <v>16</v>
      </c>
      <c r="Q226" t="s">
        <v>16</v>
      </c>
      <c r="R226" t="s">
        <v>16</v>
      </c>
      <c r="S226" t="s">
        <v>16</v>
      </c>
      <c r="T226" t="s">
        <v>16</v>
      </c>
      <c r="U226" t="s">
        <v>4227</v>
      </c>
      <c r="V226" t="s">
        <v>4228</v>
      </c>
      <c r="W226" t="s">
        <v>4229</v>
      </c>
      <c r="X226" t="s">
        <v>4230</v>
      </c>
      <c r="Y226" t="s">
        <v>4231</v>
      </c>
      <c r="Z226" t="s">
        <v>4232</v>
      </c>
      <c r="AA226" t="s">
        <v>4233</v>
      </c>
      <c r="AB226" t="s">
        <v>4234</v>
      </c>
      <c r="AC226" t="s">
        <v>4235</v>
      </c>
      <c r="AD226" t="s">
        <v>4236</v>
      </c>
      <c r="AE226" t="s">
        <v>4237</v>
      </c>
      <c r="AF226" t="s">
        <v>16</v>
      </c>
      <c r="AG226">
        <v>31</v>
      </c>
      <c r="AH226">
        <v>31</v>
      </c>
      <c r="AI226">
        <v>32</v>
      </c>
      <c r="AJ226">
        <v>0</v>
      </c>
      <c r="AK226">
        <v>7</v>
      </c>
      <c r="AL226" t="s">
        <v>63</v>
      </c>
      <c r="AM226" t="s">
        <v>64</v>
      </c>
      <c r="AN226" t="s">
        <v>65</v>
      </c>
      <c r="AO226" t="s">
        <v>66</v>
      </c>
      <c r="AP226" t="s">
        <v>67</v>
      </c>
      <c r="AQ226" t="s">
        <v>16</v>
      </c>
      <c r="AR226" t="s">
        <v>68</v>
      </c>
      <c r="AS226" t="s">
        <v>69</v>
      </c>
      <c r="AT226" t="s">
        <v>990</v>
      </c>
      <c r="AU226">
        <v>2019</v>
      </c>
      <c r="AV226">
        <v>59</v>
      </c>
      <c r="AW226">
        <v>3</v>
      </c>
      <c r="AX226" t="s">
        <v>16</v>
      </c>
      <c r="AY226" t="s">
        <v>16</v>
      </c>
      <c r="AZ226" t="s">
        <v>16</v>
      </c>
      <c r="BA226" t="s">
        <v>16</v>
      </c>
      <c r="BB226">
        <v>981</v>
      </c>
      <c r="BC226">
        <v>993</v>
      </c>
      <c r="BD226" t="s">
        <v>16</v>
      </c>
      <c r="BE226" t="s">
        <v>4238</v>
      </c>
      <c r="BF226" t="str">
        <f>HYPERLINK("http://dx.doi.org/10.2135/cropsci2018.09.0537","http://dx.doi.org/10.2135/cropsci2018.09.0537")</f>
        <v>http://dx.doi.org/10.2135/cropsci2018.09.0537</v>
      </c>
      <c r="BG226" t="s">
        <v>16</v>
      </c>
      <c r="BH226" t="s">
        <v>16</v>
      </c>
      <c r="BI226">
        <v>13</v>
      </c>
      <c r="BJ226" t="s">
        <v>40</v>
      </c>
      <c r="BK226" t="s">
        <v>73</v>
      </c>
      <c r="BL226" t="s">
        <v>42</v>
      </c>
      <c r="BM226" t="s">
        <v>4239</v>
      </c>
      <c r="BN226" t="s">
        <v>16</v>
      </c>
      <c r="BO226" t="s">
        <v>75</v>
      </c>
      <c r="BP226" t="s">
        <v>16</v>
      </c>
      <c r="BQ226" t="s">
        <v>16</v>
      </c>
      <c r="BR226" t="s">
        <v>44</v>
      </c>
      <c r="BS226" t="s">
        <v>4240</v>
      </c>
      <c r="BT226" t="str">
        <f>HYPERLINK("https%3A%2F%2Fwww.webofscience.com%2Fwos%2Fwoscc%2Ffull-record%2FWOS:000468206500016","View Full Record in Web of Science")</f>
        <v>View Full Record in Web of Science</v>
      </c>
    </row>
    <row r="227" spans="1:72" x14ac:dyDescent="0.2">
      <c r="A227" t="s">
        <v>46</v>
      </c>
      <c r="B227" t="s">
        <v>4241</v>
      </c>
      <c r="C227" t="s">
        <v>16</v>
      </c>
      <c r="D227" t="s">
        <v>16</v>
      </c>
      <c r="E227" t="s">
        <v>16</v>
      </c>
      <c r="F227" t="s">
        <v>4242</v>
      </c>
      <c r="G227" t="s">
        <v>16</v>
      </c>
      <c r="H227" t="s">
        <v>16</v>
      </c>
      <c r="I227" t="s">
        <v>4243</v>
      </c>
      <c r="J227" t="s">
        <v>3392</v>
      </c>
      <c r="K227" t="s">
        <v>16</v>
      </c>
      <c r="L227" t="s">
        <v>16</v>
      </c>
      <c r="M227" t="s">
        <v>22</v>
      </c>
      <c r="N227" t="s">
        <v>51</v>
      </c>
      <c r="O227" t="s">
        <v>16</v>
      </c>
      <c r="P227" t="s">
        <v>16</v>
      </c>
      <c r="Q227" t="s">
        <v>16</v>
      </c>
      <c r="R227" t="s">
        <v>16</v>
      </c>
      <c r="S227" t="s">
        <v>16</v>
      </c>
      <c r="T227" t="s">
        <v>4244</v>
      </c>
      <c r="U227" t="s">
        <v>16</v>
      </c>
      <c r="V227" t="s">
        <v>4245</v>
      </c>
      <c r="W227" t="s">
        <v>4246</v>
      </c>
      <c r="X227" t="s">
        <v>4247</v>
      </c>
      <c r="Y227" t="s">
        <v>4248</v>
      </c>
      <c r="Z227" t="s">
        <v>3996</v>
      </c>
      <c r="AA227" t="s">
        <v>16</v>
      </c>
      <c r="AB227" t="s">
        <v>16</v>
      </c>
      <c r="AC227" t="s">
        <v>16</v>
      </c>
      <c r="AD227" t="s">
        <v>16</v>
      </c>
      <c r="AE227" t="s">
        <v>16</v>
      </c>
      <c r="AF227" t="s">
        <v>16</v>
      </c>
      <c r="AG227">
        <v>12</v>
      </c>
      <c r="AH227">
        <v>2</v>
      </c>
      <c r="AI227">
        <v>2</v>
      </c>
      <c r="AJ227">
        <v>0</v>
      </c>
      <c r="AK227">
        <v>3</v>
      </c>
      <c r="AL227" t="s">
        <v>3404</v>
      </c>
      <c r="AM227" t="s">
        <v>3405</v>
      </c>
      <c r="AN227" t="s">
        <v>3406</v>
      </c>
      <c r="AO227" t="s">
        <v>16</v>
      </c>
      <c r="AP227" t="s">
        <v>3407</v>
      </c>
      <c r="AQ227" t="s">
        <v>16</v>
      </c>
      <c r="AR227" t="s">
        <v>3408</v>
      </c>
      <c r="AS227" t="s">
        <v>3409</v>
      </c>
      <c r="AT227" t="s">
        <v>16</v>
      </c>
      <c r="AU227">
        <v>2014</v>
      </c>
      <c r="AV227">
        <v>13</v>
      </c>
      <c r="AW227">
        <v>3</v>
      </c>
      <c r="AX227" t="s">
        <v>16</v>
      </c>
      <c r="AY227" t="s">
        <v>16</v>
      </c>
      <c r="AZ227" t="s">
        <v>16</v>
      </c>
      <c r="BA227" t="s">
        <v>16</v>
      </c>
      <c r="BB227">
        <v>5541</v>
      </c>
      <c r="BC227">
        <v>5554</v>
      </c>
      <c r="BD227" t="s">
        <v>16</v>
      </c>
      <c r="BE227" t="s">
        <v>4249</v>
      </c>
      <c r="BF227" t="str">
        <f>HYPERLINK("http://dx.doi.org/10.4238/2014.July.25.8","http://dx.doi.org/10.4238/2014.July.25.8")</f>
        <v>http://dx.doi.org/10.4238/2014.July.25.8</v>
      </c>
      <c r="BG227" t="s">
        <v>16</v>
      </c>
      <c r="BH227" t="s">
        <v>16</v>
      </c>
      <c r="BI227">
        <v>14</v>
      </c>
      <c r="BJ227" t="s">
        <v>296</v>
      </c>
      <c r="BK227" t="s">
        <v>73</v>
      </c>
      <c r="BL227" t="s">
        <v>1076</v>
      </c>
      <c r="BM227" t="s">
        <v>4250</v>
      </c>
      <c r="BN227">
        <v>25117310</v>
      </c>
      <c r="BO227" t="s">
        <v>666</v>
      </c>
      <c r="BP227" t="s">
        <v>16</v>
      </c>
      <c r="BQ227" t="s">
        <v>16</v>
      </c>
      <c r="BR227" t="s">
        <v>44</v>
      </c>
      <c r="BS227" t="s">
        <v>4251</v>
      </c>
      <c r="BT227" t="str">
        <f>HYPERLINK("https%3A%2F%2Fwww.webofscience.com%2Fwos%2Fwoscc%2Ffull-record%2FWOS:000340383600089","View Full Record in Web of Science")</f>
        <v>View Full Record in Web of Science</v>
      </c>
    </row>
    <row r="228" spans="1:72" x14ac:dyDescent="0.2">
      <c r="A228" t="s">
        <v>46</v>
      </c>
      <c r="B228" t="s">
        <v>4252</v>
      </c>
      <c r="C228" t="s">
        <v>16</v>
      </c>
      <c r="D228" t="s">
        <v>16</v>
      </c>
      <c r="E228" t="s">
        <v>16</v>
      </c>
      <c r="F228" t="s">
        <v>4253</v>
      </c>
      <c r="G228" t="s">
        <v>16</v>
      </c>
      <c r="H228" t="s">
        <v>16</v>
      </c>
      <c r="I228" t="s">
        <v>4254</v>
      </c>
      <c r="J228" t="s">
        <v>326</v>
      </c>
      <c r="K228" t="s">
        <v>16</v>
      </c>
      <c r="L228" t="s">
        <v>16</v>
      </c>
      <c r="M228" t="s">
        <v>22</v>
      </c>
      <c r="N228" t="s">
        <v>51</v>
      </c>
      <c r="O228" t="s">
        <v>16</v>
      </c>
      <c r="P228" t="s">
        <v>16</v>
      </c>
      <c r="Q228" t="s">
        <v>16</v>
      </c>
      <c r="R228" t="s">
        <v>16</v>
      </c>
      <c r="S228" t="s">
        <v>16</v>
      </c>
      <c r="T228" t="s">
        <v>16</v>
      </c>
      <c r="U228" t="s">
        <v>4255</v>
      </c>
      <c r="V228" t="s">
        <v>4256</v>
      </c>
      <c r="W228" t="s">
        <v>4257</v>
      </c>
      <c r="X228" t="s">
        <v>4258</v>
      </c>
      <c r="Y228" t="s">
        <v>4259</v>
      </c>
      <c r="Z228" t="s">
        <v>4260</v>
      </c>
      <c r="AA228" t="s">
        <v>4261</v>
      </c>
      <c r="AB228" t="s">
        <v>4262</v>
      </c>
      <c r="AC228" t="s">
        <v>4263</v>
      </c>
      <c r="AD228" t="s">
        <v>4264</v>
      </c>
      <c r="AE228" t="s">
        <v>4265</v>
      </c>
      <c r="AF228" t="s">
        <v>16</v>
      </c>
      <c r="AG228">
        <v>41</v>
      </c>
      <c r="AH228">
        <v>99</v>
      </c>
      <c r="AI228">
        <v>112</v>
      </c>
      <c r="AJ228">
        <v>2</v>
      </c>
      <c r="AK228">
        <v>50</v>
      </c>
      <c r="AL228" t="s">
        <v>4266</v>
      </c>
      <c r="AM228" t="s">
        <v>333</v>
      </c>
      <c r="AN228" t="s">
        <v>334</v>
      </c>
      <c r="AO228" t="s">
        <v>336</v>
      </c>
      <c r="AP228" t="s">
        <v>16</v>
      </c>
      <c r="AQ228" t="s">
        <v>16</v>
      </c>
      <c r="AR228" t="s">
        <v>326</v>
      </c>
      <c r="AS228" t="s">
        <v>337</v>
      </c>
      <c r="AT228" t="s">
        <v>576</v>
      </c>
      <c r="AU228">
        <v>2013</v>
      </c>
      <c r="AV228">
        <v>195</v>
      </c>
      <c r="AW228">
        <v>2</v>
      </c>
      <c r="AX228" t="s">
        <v>16</v>
      </c>
      <c r="AY228" t="s">
        <v>16</v>
      </c>
      <c r="AZ228" t="s">
        <v>16</v>
      </c>
      <c r="BA228" t="s">
        <v>16</v>
      </c>
      <c r="BB228">
        <v>573</v>
      </c>
      <c r="BC228" t="s">
        <v>1721</v>
      </c>
      <c r="BD228" t="s">
        <v>16</v>
      </c>
      <c r="BE228" t="s">
        <v>4267</v>
      </c>
      <c r="BF228" t="str">
        <f>HYPERLINK("http://dx.doi.org/10.1534/genetics.113.150078","http://dx.doi.org/10.1534/genetics.113.150078")</f>
        <v>http://dx.doi.org/10.1534/genetics.113.150078</v>
      </c>
      <c r="BG228" t="s">
        <v>16</v>
      </c>
      <c r="BH228" t="s">
        <v>16</v>
      </c>
      <c r="BI228">
        <v>25</v>
      </c>
      <c r="BJ228" t="s">
        <v>339</v>
      </c>
      <c r="BK228" t="s">
        <v>73</v>
      </c>
      <c r="BL228" t="s">
        <v>339</v>
      </c>
      <c r="BM228" t="s">
        <v>4268</v>
      </c>
      <c r="BN228">
        <v>23934883</v>
      </c>
      <c r="BO228" t="s">
        <v>2278</v>
      </c>
      <c r="BP228" t="s">
        <v>16</v>
      </c>
      <c r="BQ228" t="s">
        <v>16</v>
      </c>
      <c r="BR228" t="s">
        <v>44</v>
      </c>
      <c r="BS228" t="s">
        <v>4269</v>
      </c>
      <c r="BT228" t="str">
        <f>HYPERLINK("https%3A%2F%2Fwww.webofscience.com%2Fwos%2Fwoscc%2Ffull-record%2FWOS:000325286200024","View Full Record in Web of Science")</f>
        <v>View Full Record in Web of Science</v>
      </c>
    </row>
    <row r="229" spans="1:72" x14ac:dyDescent="0.2">
      <c r="A229" t="s">
        <v>46</v>
      </c>
      <c r="B229" t="s">
        <v>4270</v>
      </c>
      <c r="C229" t="s">
        <v>16</v>
      </c>
      <c r="D229" t="s">
        <v>16</v>
      </c>
      <c r="E229" t="s">
        <v>16</v>
      </c>
      <c r="F229" t="s">
        <v>4270</v>
      </c>
      <c r="G229" t="s">
        <v>16</v>
      </c>
      <c r="H229" t="s">
        <v>16</v>
      </c>
      <c r="I229" t="s">
        <v>4271</v>
      </c>
      <c r="J229" t="s">
        <v>50</v>
      </c>
      <c r="K229" t="s">
        <v>16</v>
      </c>
      <c r="L229" t="s">
        <v>16</v>
      </c>
      <c r="M229" t="s">
        <v>22</v>
      </c>
      <c r="N229" t="s">
        <v>51</v>
      </c>
      <c r="O229" t="s">
        <v>16</v>
      </c>
      <c r="P229" t="s">
        <v>16</v>
      </c>
      <c r="Q229" t="s">
        <v>16</v>
      </c>
      <c r="R229" t="s">
        <v>16</v>
      </c>
      <c r="S229" t="s">
        <v>16</v>
      </c>
      <c r="T229" t="s">
        <v>16</v>
      </c>
      <c r="U229" t="s">
        <v>4272</v>
      </c>
      <c r="V229" t="s">
        <v>4273</v>
      </c>
      <c r="W229" t="s">
        <v>4274</v>
      </c>
      <c r="X229" t="s">
        <v>2558</v>
      </c>
      <c r="Y229" t="s">
        <v>4275</v>
      </c>
      <c r="Z229" t="s">
        <v>4276</v>
      </c>
      <c r="AA229" t="s">
        <v>4277</v>
      </c>
      <c r="AB229" t="s">
        <v>4278</v>
      </c>
      <c r="AC229" t="s">
        <v>16</v>
      </c>
      <c r="AD229" t="s">
        <v>16</v>
      </c>
      <c r="AE229" t="s">
        <v>16</v>
      </c>
      <c r="AF229" t="s">
        <v>16</v>
      </c>
      <c r="AG229">
        <v>61</v>
      </c>
      <c r="AH229">
        <v>96</v>
      </c>
      <c r="AI229">
        <v>111</v>
      </c>
      <c r="AJ229">
        <v>0</v>
      </c>
      <c r="AK229">
        <v>40</v>
      </c>
      <c r="AL229" t="s">
        <v>107</v>
      </c>
      <c r="AM229" t="s">
        <v>108</v>
      </c>
      <c r="AN229" t="s">
        <v>109</v>
      </c>
      <c r="AO229" t="s">
        <v>66</v>
      </c>
      <c r="AP229" t="s">
        <v>16</v>
      </c>
      <c r="AQ229" t="s">
        <v>16</v>
      </c>
      <c r="AR229" t="s">
        <v>68</v>
      </c>
      <c r="AS229" t="s">
        <v>69</v>
      </c>
      <c r="AT229" t="s">
        <v>187</v>
      </c>
      <c r="AU229">
        <v>2006</v>
      </c>
      <c r="AV229">
        <v>46</v>
      </c>
      <c r="AW229">
        <v>1</v>
      </c>
      <c r="AX229" t="s">
        <v>16</v>
      </c>
      <c r="AY229" t="s">
        <v>16</v>
      </c>
      <c r="AZ229" t="s">
        <v>16</v>
      </c>
      <c r="BA229" t="s">
        <v>16</v>
      </c>
      <c r="BB229">
        <v>456</v>
      </c>
      <c r="BC229">
        <v>466</v>
      </c>
      <c r="BD229" t="s">
        <v>16</v>
      </c>
      <c r="BE229" t="s">
        <v>4279</v>
      </c>
      <c r="BF229" t="str">
        <f>HYPERLINK("http://dx.doi.org/10.2135/cropsci2005.04-0372","http://dx.doi.org/10.2135/cropsci2005.04-0372")</f>
        <v>http://dx.doi.org/10.2135/cropsci2005.04-0372</v>
      </c>
      <c r="BG229" t="s">
        <v>16</v>
      </c>
      <c r="BH229" t="s">
        <v>16</v>
      </c>
      <c r="BI229">
        <v>11</v>
      </c>
      <c r="BJ229" t="s">
        <v>40</v>
      </c>
      <c r="BK229" t="s">
        <v>73</v>
      </c>
      <c r="BL229" t="s">
        <v>42</v>
      </c>
      <c r="BM229" t="s">
        <v>4280</v>
      </c>
      <c r="BN229" t="s">
        <v>16</v>
      </c>
      <c r="BO229" t="s">
        <v>16</v>
      </c>
      <c r="BP229" t="s">
        <v>16</v>
      </c>
      <c r="BQ229" t="s">
        <v>16</v>
      </c>
      <c r="BR229" t="s">
        <v>44</v>
      </c>
      <c r="BS229" t="s">
        <v>4281</v>
      </c>
      <c r="BT229" t="str">
        <f>HYPERLINK("https%3A%2F%2Fwww.webofscience.com%2Fwos%2Fwoscc%2Ffull-record%2FWOS:000235103700060","View Full Record in Web of Science")</f>
        <v>View Full Record in Web of Science</v>
      </c>
    </row>
    <row r="230" spans="1:72" x14ac:dyDescent="0.2">
      <c r="A230" t="s">
        <v>46</v>
      </c>
      <c r="B230" t="s">
        <v>4282</v>
      </c>
      <c r="C230" t="s">
        <v>16</v>
      </c>
      <c r="D230" t="s">
        <v>16</v>
      </c>
      <c r="E230" t="s">
        <v>16</v>
      </c>
      <c r="F230" t="s">
        <v>4283</v>
      </c>
      <c r="G230" t="s">
        <v>16</v>
      </c>
      <c r="H230" t="s">
        <v>16</v>
      </c>
      <c r="I230" t="s">
        <v>4284</v>
      </c>
      <c r="J230" t="s">
        <v>2236</v>
      </c>
      <c r="K230" t="s">
        <v>16</v>
      </c>
      <c r="L230" t="s">
        <v>16</v>
      </c>
      <c r="M230" t="s">
        <v>22</v>
      </c>
      <c r="N230" t="s">
        <v>51</v>
      </c>
      <c r="O230" t="s">
        <v>16</v>
      </c>
      <c r="P230" t="s">
        <v>16</v>
      </c>
      <c r="Q230" t="s">
        <v>16</v>
      </c>
      <c r="R230" t="s">
        <v>16</v>
      </c>
      <c r="S230" t="s">
        <v>16</v>
      </c>
      <c r="T230" t="s">
        <v>16</v>
      </c>
      <c r="U230" t="s">
        <v>4285</v>
      </c>
      <c r="V230" t="s">
        <v>4286</v>
      </c>
      <c r="W230" t="s">
        <v>4287</v>
      </c>
      <c r="X230" t="s">
        <v>4288</v>
      </c>
      <c r="Y230" t="s">
        <v>4289</v>
      </c>
      <c r="Z230" t="s">
        <v>497</v>
      </c>
      <c r="AA230" t="s">
        <v>4290</v>
      </c>
      <c r="AB230" t="s">
        <v>4291</v>
      </c>
      <c r="AC230" t="s">
        <v>4292</v>
      </c>
      <c r="AD230" t="s">
        <v>4293</v>
      </c>
      <c r="AE230" t="s">
        <v>4294</v>
      </c>
      <c r="AF230" t="s">
        <v>16</v>
      </c>
      <c r="AG230">
        <v>50</v>
      </c>
      <c r="AH230">
        <v>7</v>
      </c>
      <c r="AI230">
        <v>8</v>
      </c>
      <c r="AJ230">
        <v>0</v>
      </c>
      <c r="AK230">
        <v>7</v>
      </c>
      <c r="AL230" t="s">
        <v>720</v>
      </c>
      <c r="AM230" t="s">
        <v>721</v>
      </c>
      <c r="AN230" t="s">
        <v>722</v>
      </c>
      <c r="AO230" t="s">
        <v>2241</v>
      </c>
      <c r="AP230" t="s">
        <v>4295</v>
      </c>
      <c r="AQ230" t="s">
        <v>16</v>
      </c>
      <c r="AR230" t="s">
        <v>2236</v>
      </c>
      <c r="AS230" t="s">
        <v>2242</v>
      </c>
      <c r="AT230" t="s">
        <v>4296</v>
      </c>
      <c r="AU230">
        <v>2017</v>
      </c>
      <c r="AV230">
        <v>33</v>
      </c>
      <c r="AW230">
        <v>22</v>
      </c>
      <c r="AX230" t="s">
        <v>16</v>
      </c>
      <c r="AY230" t="s">
        <v>16</v>
      </c>
      <c r="AZ230" t="s">
        <v>16</v>
      </c>
      <c r="BA230" t="s">
        <v>16</v>
      </c>
      <c r="BB230">
        <v>3584</v>
      </c>
      <c r="BC230">
        <v>3594</v>
      </c>
      <c r="BD230" t="s">
        <v>16</v>
      </c>
      <c r="BE230" t="s">
        <v>4297</v>
      </c>
      <c r="BF230" t="str">
        <f>HYPERLINK("http://dx.doi.org/10.1093/bioinformatics/btx457","http://dx.doi.org/10.1093/bioinformatics/btx457")</f>
        <v>http://dx.doi.org/10.1093/bioinformatics/btx457</v>
      </c>
      <c r="BG230" t="s">
        <v>16</v>
      </c>
      <c r="BH230" t="s">
        <v>16</v>
      </c>
      <c r="BI230">
        <v>11</v>
      </c>
      <c r="BJ230" t="s">
        <v>296</v>
      </c>
      <c r="BK230" t="s">
        <v>73</v>
      </c>
      <c r="BL230" t="s">
        <v>2244</v>
      </c>
      <c r="BM230" t="s">
        <v>4298</v>
      </c>
      <c r="BN230">
        <v>29036274</v>
      </c>
      <c r="BO230" t="s">
        <v>666</v>
      </c>
      <c r="BP230" t="s">
        <v>16</v>
      </c>
      <c r="BQ230" t="s">
        <v>16</v>
      </c>
      <c r="BR230" t="s">
        <v>44</v>
      </c>
      <c r="BS230" t="s">
        <v>4299</v>
      </c>
      <c r="BT230" t="str">
        <f>HYPERLINK("https%3A%2F%2Fwww.webofscience.com%2Fwos%2Fwoscc%2Ffull-record%2FWOS:000415074800010","View Full Record in Web of Science")</f>
        <v>View Full Record in Web of Science</v>
      </c>
    </row>
    <row r="231" spans="1:72" x14ac:dyDescent="0.2">
      <c r="A231" t="s">
        <v>46</v>
      </c>
      <c r="B231" t="s">
        <v>4300</v>
      </c>
      <c r="C231" t="s">
        <v>16</v>
      </c>
      <c r="D231" t="s">
        <v>16</v>
      </c>
      <c r="E231" t="s">
        <v>16</v>
      </c>
      <c r="F231" t="s">
        <v>4301</v>
      </c>
      <c r="G231" t="s">
        <v>16</v>
      </c>
      <c r="H231" t="s">
        <v>16</v>
      </c>
      <c r="I231" t="s">
        <v>4302</v>
      </c>
      <c r="J231" t="s">
        <v>4303</v>
      </c>
      <c r="K231" t="s">
        <v>16</v>
      </c>
      <c r="L231" t="s">
        <v>16</v>
      </c>
      <c r="M231" t="s">
        <v>22</v>
      </c>
      <c r="N231" t="s">
        <v>51</v>
      </c>
      <c r="O231" t="s">
        <v>16</v>
      </c>
      <c r="P231" t="s">
        <v>16</v>
      </c>
      <c r="Q231" t="s">
        <v>16</v>
      </c>
      <c r="R231" t="s">
        <v>16</v>
      </c>
      <c r="S231" t="s">
        <v>16</v>
      </c>
      <c r="T231" t="s">
        <v>16</v>
      </c>
      <c r="U231" t="s">
        <v>4304</v>
      </c>
      <c r="V231" t="s">
        <v>4305</v>
      </c>
      <c r="W231" t="s">
        <v>4306</v>
      </c>
      <c r="X231" t="s">
        <v>4307</v>
      </c>
      <c r="Y231" t="s">
        <v>4308</v>
      </c>
      <c r="Z231" t="s">
        <v>4309</v>
      </c>
      <c r="AA231" t="s">
        <v>4310</v>
      </c>
      <c r="AB231" t="s">
        <v>4311</v>
      </c>
      <c r="AC231" t="s">
        <v>4312</v>
      </c>
      <c r="AD231" t="s">
        <v>4313</v>
      </c>
      <c r="AE231" t="s">
        <v>4314</v>
      </c>
      <c r="AF231" t="s">
        <v>16</v>
      </c>
      <c r="AG231">
        <v>23</v>
      </c>
      <c r="AH231">
        <v>6</v>
      </c>
      <c r="AI231">
        <v>9</v>
      </c>
      <c r="AJ231">
        <v>0</v>
      </c>
      <c r="AK231">
        <v>12</v>
      </c>
      <c r="AL231" t="s">
        <v>503</v>
      </c>
      <c r="AM231" t="s">
        <v>376</v>
      </c>
      <c r="AN231" t="s">
        <v>504</v>
      </c>
      <c r="AO231" t="s">
        <v>4315</v>
      </c>
      <c r="AP231" t="s">
        <v>16</v>
      </c>
      <c r="AQ231" t="s">
        <v>16</v>
      </c>
      <c r="AR231" t="s">
        <v>4303</v>
      </c>
      <c r="AS231" t="s">
        <v>4316</v>
      </c>
      <c r="AT231" t="s">
        <v>4317</v>
      </c>
      <c r="AU231">
        <v>2010</v>
      </c>
      <c r="AV231">
        <v>11</v>
      </c>
      <c r="AW231" t="s">
        <v>16</v>
      </c>
      <c r="AX231" t="s">
        <v>16</v>
      </c>
      <c r="AY231" t="s">
        <v>16</v>
      </c>
      <c r="AZ231" t="s">
        <v>16</v>
      </c>
      <c r="BA231" t="s">
        <v>16</v>
      </c>
      <c r="BB231" t="s">
        <v>16</v>
      </c>
      <c r="BC231" t="s">
        <v>16</v>
      </c>
      <c r="BD231">
        <v>443</v>
      </c>
      <c r="BE231" t="s">
        <v>4318</v>
      </c>
      <c r="BF231" t="str">
        <f>HYPERLINK("http://dx.doi.org/10.1186/1471-2105-11-443","http://dx.doi.org/10.1186/1471-2105-11-443")</f>
        <v>http://dx.doi.org/10.1186/1471-2105-11-443</v>
      </c>
      <c r="BG231" t="s">
        <v>16</v>
      </c>
      <c r="BH231" t="s">
        <v>16</v>
      </c>
      <c r="BI231">
        <v>20</v>
      </c>
      <c r="BJ231" t="s">
        <v>296</v>
      </c>
      <c r="BK231" t="s">
        <v>73</v>
      </c>
      <c r="BL231" t="s">
        <v>4319</v>
      </c>
      <c r="BM231" t="s">
        <v>4320</v>
      </c>
      <c r="BN231">
        <v>20809988</v>
      </c>
      <c r="BO231" t="s">
        <v>216</v>
      </c>
      <c r="BP231" t="s">
        <v>16</v>
      </c>
      <c r="BQ231" t="s">
        <v>16</v>
      </c>
      <c r="BR231" t="s">
        <v>44</v>
      </c>
      <c r="BS231" t="s">
        <v>4321</v>
      </c>
      <c r="BT231" t="str">
        <f>HYPERLINK("https%3A%2F%2Fwww.webofscience.com%2Fwos%2Fwoscc%2Ffull-record%2FWOS:000282655400001","View Full Record in Web of Science")</f>
        <v>View Full Record in Web of Science</v>
      </c>
    </row>
    <row r="232" spans="1:72" x14ac:dyDescent="0.2">
      <c r="A232" t="s">
        <v>46</v>
      </c>
      <c r="B232" t="s">
        <v>4322</v>
      </c>
      <c r="C232" t="s">
        <v>16</v>
      </c>
      <c r="D232" t="s">
        <v>16</v>
      </c>
      <c r="E232" t="s">
        <v>16</v>
      </c>
      <c r="F232" t="s">
        <v>4323</v>
      </c>
      <c r="G232" t="s">
        <v>16</v>
      </c>
      <c r="H232" t="s">
        <v>16</v>
      </c>
      <c r="I232" t="s">
        <v>4324</v>
      </c>
      <c r="J232" t="s">
        <v>734</v>
      </c>
      <c r="K232" t="s">
        <v>16</v>
      </c>
      <c r="L232" t="s">
        <v>16</v>
      </c>
      <c r="M232" t="s">
        <v>22</v>
      </c>
      <c r="N232" t="s">
        <v>51</v>
      </c>
      <c r="O232" t="s">
        <v>16</v>
      </c>
      <c r="P232" t="s">
        <v>16</v>
      </c>
      <c r="Q232" t="s">
        <v>16</v>
      </c>
      <c r="R232" t="s">
        <v>16</v>
      </c>
      <c r="S232" t="s">
        <v>16</v>
      </c>
      <c r="T232" t="s">
        <v>4325</v>
      </c>
      <c r="U232" t="s">
        <v>4326</v>
      </c>
      <c r="V232" t="s">
        <v>4327</v>
      </c>
      <c r="W232" t="s">
        <v>4328</v>
      </c>
      <c r="X232" t="s">
        <v>4329</v>
      </c>
      <c r="Y232" t="s">
        <v>4330</v>
      </c>
      <c r="Z232" t="s">
        <v>4331</v>
      </c>
      <c r="AA232" t="s">
        <v>4332</v>
      </c>
      <c r="AB232" t="s">
        <v>4333</v>
      </c>
      <c r="AC232" t="s">
        <v>4334</v>
      </c>
      <c r="AD232" t="s">
        <v>4335</v>
      </c>
      <c r="AE232" t="s">
        <v>4336</v>
      </c>
      <c r="AF232" t="s">
        <v>16</v>
      </c>
      <c r="AG232">
        <v>55</v>
      </c>
      <c r="AH232">
        <v>11</v>
      </c>
      <c r="AI232">
        <v>11</v>
      </c>
      <c r="AJ232">
        <v>0</v>
      </c>
      <c r="AK232">
        <v>1</v>
      </c>
      <c r="AL232" t="s">
        <v>745</v>
      </c>
      <c r="AM232" t="s">
        <v>746</v>
      </c>
      <c r="AN232" t="s">
        <v>747</v>
      </c>
      <c r="AO232" t="s">
        <v>748</v>
      </c>
      <c r="AP232" t="s">
        <v>16</v>
      </c>
      <c r="AQ232" t="s">
        <v>16</v>
      </c>
      <c r="AR232" t="s">
        <v>749</v>
      </c>
      <c r="AS232" t="s">
        <v>750</v>
      </c>
      <c r="AT232" t="s">
        <v>318</v>
      </c>
      <c r="AU232">
        <v>2019</v>
      </c>
      <c r="AV232">
        <v>9</v>
      </c>
      <c r="AW232">
        <v>12</v>
      </c>
      <c r="AX232" t="s">
        <v>16</v>
      </c>
      <c r="AY232" t="s">
        <v>16</v>
      </c>
      <c r="AZ232" t="s">
        <v>16</v>
      </c>
      <c r="BA232" t="s">
        <v>16</v>
      </c>
      <c r="BB232">
        <v>4169</v>
      </c>
      <c r="BC232">
        <v>4181</v>
      </c>
      <c r="BD232" t="s">
        <v>16</v>
      </c>
      <c r="BE232" t="s">
        <v>4337</v>
      </c>
      <c r="BF232" t="str">
        <f>HYPERLINK("http://dx.doi.org/10.1534/g3.119.400545","http://dx.doi.org/10.1534/g3.119.400545")</f>
        <v>http://dx.doi.org/10.1534/g3.119.400545</v>
      </c>
      <c r="BG232" t="s">
        <v>16</v>
      </c>
      <c r="BH232" t="s">
        <v>16</v>
      </c>
      <c r="BI232">
        <v>13</v>
      </c>
      <c r="BJ232" t="s">
        <v>339</v>
      </c>
      <c r="BK232" t="s">
        <v>73</v>
      </c>
      <c r="BL232" t="s">
        <v>339</v>
      </c>
      <c r="BM232" t="s">
        <v>4338</v>
      </c>
      <c r="BN232">
        <v>31628152</v>
      </c>
      <c r="BO232" t="s">
        <v>534</v>
      </c>
      <c r="BP232" t="s">
        <v>16</v>
      </c>
      <c r="BQ232" t="s">
        <v>16</v>
      </c>
      <c r="BR232" t="s">
        <v>44</v>
      </c>
      <c r="BS232" t="s">
        <v>4339</v>
      </c>
      <c r="BT232" t="str">
        <f>HYPERLINK("https%3A%2F%2Fwww.webofscience.com%2Fwos%2Fwoscc%2Ffull-record%2FWOS:000511967400025","View Full Record in Web of Science")</f>
        <v>View Full Record in Web of Science</v>
      </c>
    </row>
    <row r="233" spans="1:72" x14ac:dyDescent="0.2">
      <c r="A233" t="s">
        <v>46</v>
      </c>
      <c r="B233" t="s">
        <v>4340</v>
      </c>
      <c r="C233" t="s">
        <v>16</v>
      </c>
      <c r="D233" t="s">
        <v>16</v>
      </c>
      <c r="E233" t="s">
        <v>16</v>
      </c>
      <c r="F233" t="s">
        <v>4341</v>
      </c>
      <c r="G233" t="s">
        <v>16</v>
      </c>
      <c r="H233" t="s">
        <v>16</v>
      </c>
      <c r="I233" t="s">
        <v>4342</v>
      </c>
      <c r="J233" t="s">
        <v>4343</v>
      </c>
      <c r="K233" t="s">
        <v>16</v>
      </c>
      <c r="L233" t="s">
        <v>16</v>
      </c>
      <c r="M233" t="s">
        <v>22</v>
      </c>
      <c r="N233" t="s">
        <v>51</v>
      </c>
      <c r="O233" t="s">
        <v>16</v>
      </c>
      <c r="P233" t="s">
        <v>16</v>
      </c>
      <c r="Q233" t="s">
        <v>16</v>
      </c>
      <c r="R233" t="s">
        <v>16</v>
      </c>
      <c r="S233" t="s">
        <v>16</v>
      </c>
      <c r="T233" t="s">
        <v>4344</v>
      </c>
      <c r="U233" t="s">
        <v>4345</v>
      </c>
      <c r="V233" t="s">
        <v>4346</v>
      </c>
      <c r="W233" t="s">
        <v>4347</v>
      </c>
      <c r="X233" t="s">
        <v>4348</v>
      </c>
      <c r="Y233" t="s">
        <v>4349</v>
      </c>
      <c r="Z233" t="s">
        <v>4350</v>
      </c>
      <c r="AA233" t="s">
        <v>4351</v>
      </c>
      <c r="AB233" t="s">
        <v>4352</v>
      </c>
      <c r="AC233" t="s">
        <v>4353</v>
      </c>
      <c r="AD233" t="s">
        <v>4354</v>
      </c>
      <c r="AE233" t="s">
        <v>4355</v>
      </c>
      <c r="AF233" t="s">
        <v>16</v>
      </c>
      <c r="AG233">
        <v>68</v>
      </c>
      <c r="AH233">
        <v>8</v>
      </c>
      <c r="AI233">
        <v>11</v>
      </c>
      <c r="AJ233">
        <v>2</v>
      </c>
      <c r="AK233">
        <v>39</v>
      </c>
      <c r="AL233" t="s">
        <v>1068</v>
      </c>
      <c r="AM233" t="s">
        <v>1069</v>
      </c>
      <c r="AN233" t="s">
        <v>1070</v>
      </c>
      <c r="AO233" t="s">
        <v>4356</v>
      </c>
      <c r="AP233" t="s">
        <v>4357</v>
      </c>
      <c r="AQ233" t="s">
        <v>16</v>
      </c>
      <c r="AR233" t="s">
        <v>4358</v>
      </c>
      <c r="AS233" t="s">
        <v>4359</v>
      </c>
      <c r="AT233" t="s">
        <v>623</v>
      </c>
      <c r="AU233">
        <v>2021</v>
      </c>
      <c r="AV233">
        <v>64</v>
      </c>
      <c r="AW233">
        <v>3</v>
      </c>
      <c r="AX233" t="s">
        <v>16</v>
      </c>
      <c r="AY233" t="s">
        <v>16</v>
      </c>
      <c r="AZ233" t="s">
        <v>16</v>
      </c>
      <c r="BA233" t="s">
        <v>16</v>
      </c>
      <c r="BB233">
        <v>339</v>
      </c>
      <c r="BC233">
        <v>351</v>
      </c>
      <c r="BD233" t="s">
        <v>16</v>
      </c>
      <c r="BE233" t="s">
        <v>4360</v>
      </c>
      <c r="BF233" t="str">
        <f>HYPERLINK("http://dx.doi.org/10.1007/s11427-020-1868-9","http://dx.doi.org/10.1007/s11427-020-1868-9")</f>
        <v>http://dx.doi.org/10.1007/s11427-020-1868-9</v>
      </c>
      <c r="BG233" t="s">
        <v>16</v>
      </c>
      <c r="BH233" t="s">
        <v>1580</v>
      </c>
      <c r="BI233">
        <v>13</v>
      </c>
      <c r="BJ233" t="s">
        <v>3787</v>
      </c>
      <c r="BK233" t="s">
        <v>73</v>
      </c>
      <c r="BL233" t="s">
        <v>3788</v>
      </c>
      <c r="BM233" t="s">
        <v>4361</v>
      </c>
      <c r="BN233">
        <v>33481167</v>
      </c>
      <c r="BO233" t="s">
        <v>16</v>
      </c>
      <c r="BP233" t="s">
        <v>16</v>
      </c>
      <c r="BQ233" t="s">
        <v>16</v>
      </c>
      <c r="BR233" t="s">
        <v>44</v>
      </c>
      <c r="BS233" t="s">
        <v>4362</v>
      </c>
      <c r="BT233" t="str">
        <f>HYPERLINK("https%3A%2F%2Fwww.webofscience.com%2Fwos%2Fwoscc%2Ffull-record%2FWOS:000611062200001","View Full Record in Web of Science")</f>
        <v>View Full Record in Web of Science</v>
      </c>
    </row>
    <row r="234" spans="1:72" x14ac:dyDescent="0.2">
      <c r="A234" t="s">
        <v>46</v>
      </c>
      <c r="B234" t="s">
        <v>4363</v>
      </c>
      <c r="C234" t="s">
        <v>16</v>
      </c>
      <c r="D234" t="s">
        <v>16</v>
      </c>
      <c r="E234" t="s">
        <v>16</v>
      </c>
      <c r="F234" t="s">
        <v>4364</v>
      </c>
      <c r="G234" t="s">
        <v>16</v>
      </c>
      <c r="H234" t="s">
        <v>16</v>
      </c>
      <c r="I234" t="s">
        <v>4365</v>
      </c>
      <c r="J234" t="s">
        <v>3714</v>
      </c>
      <c r="K234" t="s">
        <v>16</v>
      </c>
      <c r="L234" t="s">
        <v>16</v>
      </c>
      <c r="M234" t="s">
        <v>22</v>
      </c>
      <c r="N234" t="s">
        <v>51</v>
      </c>
      <c r="O234" t="s">
        <v>16</v>
      </c>
      <c r="P234" t="s">
        <v>16</v>
      </c>
      <c r="Q234" t="s">
        <v>16</v>
      </c>
      <c r="R234" t="s">
        <v>16</v>
      </c>
      <c r="S234" t="s">
        <v>16</v>
      </c>
      <c r="T234" t="s">
        <v>16</v>
      </c>
      <c r="U234" t="s">
        <v>4366</v>
      </c>
      <c r="V234" t="s">
        <v>4367</v>
      </c>
      <c r="W234" t="s">
        <v>4368</v>
      </c>
      <c r="X234" t="s">
        <v>4369</v>
      </c>
      <c r="Y234" t="s">
        <v>4370</v>
      </c>
      <c r="Z234" t="s">
        <v>4371</v>
      </c>
      <c r="AA234" t="s">
        <v>4372</v>
      </c>
      <c r="AB234" t="s">
        <v>4373</v>
      </c>
      <c r="AC234" t="s">
        <v>4374</v>
      </c>
      <c r="AD234" t="s">
        <v>4375</v>
      </c>
      <c r="AE234" t="s">
        <v>4376</v>
      </c>
      <c r="AF234" t="s">
        <v>16</v>
      </c>
      <c r="AG234">
        <v>76</v>
      </c>
      <c r="AH234">
        <v>107</v>
      </c>
      <c r="AI234">
        <v>123</v>
      </c>
      <c r="AJ234">
        <v>0</v>
      </c>
      <c r="AK234">
        <v>40</v>
      </c>
      <c r="AL234" t="s">
        <v>63</v>
      </c>
      <c r="AM234" t="s">
        <v>64</v>
      </c>
      <c r="AN234" t="s">
        <v>65</v>
      </c>
      <c r="AO234" t="s">
        <v>16</v>
      </c>
      <c r="AP234" t="s">
        <v>3722</v>
      </c>
      <c r="AQ234" t="s">
        <v>16</v>
      </c>
      <c r="AR234" t="s">
        <v>3723</v>
      </c>
      <c r="AS234" t="s">
        <v>3724</v>
      </c>
      <c r="AT234" t="s">
        <v>623</v>
      </c>
      <c r="AU234">
        <v>2015</v>
      </c>
      <c r="AV234">
        <v>8</v>
      </c>
      <c r="AW234">
        <v>1</v>
      </c>
      <c r="AX234" t="s">
        <v>16</v>
      </c>
      <c r="AY234" t="s">
        <v>16</v>
      </c>
      <c r="AZ234" t="s">
        <v>16</v>
      </c>
      <c r="BA234" t="s">
        <v>16</v>
      </c>
      <c r="BB234" t="s">
        <v>16</v>
      </c>
      <c r="BC234" t="s">
        <v>16</v>
      </c>
      <c r="BD234" t="s">
        <v>16</v>
      </c>
      <c r="BE234" t="s">
        <v>4377</v>
      </c>
      <c r="BF234" t="str">
        <f>HYPERLINK("http://dx.doi.org/10.3835/plantgenome2014.05.0020","http://dx.doi.org/10.3835/plantgenome2014.05.0020")</f>
        <v>http://dx.doi.org/10.3835/plantgenome2014.05.0020</v>
      </c>
      <c r="BG234" t="s">
        <v>16</v>
      </c>
      <c r="BH234" t="s">
        <v>16</v>
      </c>
      <c r="BI234">
        <v>15</v>
      </c>
      <c r="BJ234" t="s">
        <v>296</v>
      </c>
      <c r="BK234" t="s">
        <v>73</v>
      </c>
      <c r="BL234" t="s">
        <v>3726</v>
      </c>
      <c r="BM234" t="s">
        <v>4378</v>
      </c>
      <c r="BN234">
        <v>33228279</v>
      </c>
      <c r="BO234" t="s">
        <v>552</v>
      </c>
      <c r="BP234" t="s">
        <v>16</v>
      </c>
      <c r="BQ234" t="s">
        <v>16</v>
      </c>
      <c r="BR234" t="s">
        <v>44</v>
      </c>
      <c r="BS234" t="s">
        <v>4379</v>
      </c>
      <c r="BT234" t="str">
        <f>HYPERLINK("https%3A%2F%2Fwww.webofscience.com%2Fwos%2Fwoscc%2Ffull-record%2FWOS:000352494900001","View Full Record in Web of Science")</f>
        <v>View Full Record in Web of Science</v>
      </c>
    </row>
    <row r="235" spans="1:72" x14ac:dyDescent="0.2">
      <c r="A235" t="s">
        <v>46</v>
      </c>
      <c r="B235" t="s">
        <v>4380</v>
      </c>
      <c r="C235" t="s">
        <v>16</v>
      </c>
      <c r="D235" t="s">
        <v>16</v>
      </c>
      <c r="E235" t="s">
        <v>16</v>
      </c>
      <c r="F235" t="s">
        <v>4381</v>
      </c>
      <c r="G235" t="s">
        <v>16</v>
      </c>
      <c r="H235" t="s">
        <v>16</v>
      </c>
      <c r="I235" t="s">
        <v>4382</v>
      </c>
      <c r="J235" t="s">
        <v>4383</v>
      </c>
      <c r="K235" t="s">
        <v>16</v>
      </c>
      <c r="L235" t="s">
        <v>16</v>
      </c>
      <c r="M235" t="s">
        <v>22</v>
      </c>
      <c r="N235" t="s">
        <v>51</v>
      </c>
      <c r="O235" t="s">
        <v>16</v>
      </c>
      <c r="P235" t="s">
        <v>16</v>
      </c>
      <c r="Q235" t="s">
        <v>16</v>
      </c>
      <c r="R235" t="s">
        <v>16</v>
      </c>
      <c r="S235" t="s">
        <v>16</v>
      </c>
      <c r="T235" t="s">
        <v>4384</v>
      </c>
      <c r="U235" t="s">
        <v>4385</v>
      </c>
      <c r="V235" t="s">
        <v>4386</v>
      </c>
      <c r="W235" t="s">
        <v>4387</v>
      </c>
      <c r="X235" t="s">
        <v>4388</v>
      </c>
      <c r="Y235" t="s">
        <v>4389</v>
      </c>
      <c r="Z235" t="s">
        <v>4390</v>
      </c>
      <c r="AA235" t="s">
        <v>4391</v>
      </c>
      <c r="AB235" t="s">
        <v>4392</v>
      </c>
      <c r="AC235" t="s">
        <v>4393</v>
      </c>
      <c r="AD235" t="s">
        <v>4394</v>
      </c>
      <c r="AE235" t="s">
        <v>4395</v>
      </c>
      <c r="AF235" t="s">
        <v>16</v>
      </c>
      <c r="AG235">
        <v>104</v>
      </c>
      <c r="AH235">
        <v>26</v>
      </c>
      <c r="AI235">
        <v>26</v>
      </c>
      <c r="AJ235">
        <v>3</v>
      </c>
      <c r="AK235">
        <v>27</v>
      </c>
      <c r="AL235" t="s">
        <v>3023</v>
      </c>
      <c r="AM235" t="s">
        <v>3024</v>
      </c>
      <c r="AN235" t="s">
        <v>3025</v>
      </c>
      <c r="AO235" t="s">
        <v>4396</v>
      </c>
      <c r="AP235" t="s">
        <v>4397</v>
      </c>
      <c r="AQ235" t="s">
        <v>16</v>
      </c>
      <c r="AR235" t="s">
        <v>4398</v>
      </c>
      <c r="AS235" t="s">
        <v>4399</v>
      </c>
      <c r="AT235" t="s">
        <v>16</v>
      </c>
      <c r="AU235">
        <v>2022</v>
      </c>
      <c r="AV235">
        <v>60</v>
      </c>
      <c r="AW235" t="s">
        <v>16</v>
      </c>
      <c r="AX235" t="s">
        <v>16</v>
      </c>
      <c r="AY235" t="s">
        <v>16</v>
      </c>
      <c r="AZ235" t="s">
        <v>16</v>
      </c>
      <c r="BA235" t="s">
        <v>16</v>
      </c>
      <c r="BB235" t="s">
        <v>16</v>
      </c>
      <c r="BC235" t="s">
        <v>16</v>
      </c>
      <c r="BD235" t="s">
        <v>16</v>
      </c>
      <c r="BE235" t="s">
        <v>4400</v>
      </c>
      <c r="BF235" t="str">
        <f>HYPERLINK("http://dx.doi.org/10.1109/TGRS.2021.3091409","http://dx.doi.org/10.1109/TGRS.2021.3091409")</f>
        <v>http://dx.doi.org/10.1109/TGRS.2021.3091409</v>
      </c>
      <c r="BG235" t="s">
        <v>16</v>
      </c>
      <c r="BH235" t="s">
        <v>4401</v>
      </c>
      <c r="BI235">
        <v>20</v>
      </c>
      <c r="BJ235" t="s">
        <v>296</v>
      </c>
      <c r="BK235" t="s">
        <v>73</v>
      </c>
      <c r="BL235" t="s">
        <v>4402</v>
      </c>
      <c r="BM235" t="s">
        <v>4403</v>
      </c>
      <c r="BN235" t="s">
        <v>16</v>
      </c>
      <c r="BO235" t="s">
        <v>937</v>
      </c>
      <c r="BP235" t="s">
        <v>16</v>
      </c>
      <c r="BQ235" t="s">
        <v>16</v>
      </c>
      <c r="BR235" t="s">
        <v>44</v>
      </c>
      <c r="BS235" t="s">
        <v>4404</v>
      </c>
      <c r="BT235" t="str">
        <f>HYPERLINK("https%3A%2F%2Fwww.webofscience.com%2Fwos%2Fwoscc%2Ffull-record%2FWOS:000732792900001","View Full Record in Web of Science")</f>
        <v>View Full Record in Web of Science</v>
      </c>
    </row>
    <row r="236" spans="1:72" x14ac:dyDescent="0.2">
      <c r="A236" t="s">
        <v>46</v>
      </c>
      <c r="B236" t="s">
        <v>4405</v>
      </c>
      <c r="C236" t="s">
        <v>16</v>
      </c>
      <c r="D236" t="s">
        <v>16</v>
      </c>
      <c r="E236" t="s">
        <v>16</v>
      </c>
      <c r="F236" t="s">
        <v>4406</v>
      </c>
      <c r="G236" t="s">
        <v>16</v>
      </c>
      <c r="H236" t="s">
        <v>16</v>
      </c>
      <c r="I236" t="s">
        <v>4407</v>
      </c>
      <c r="J236" t="s">
        <v>734</v>
      </c>
      <c r="K236" t="s">
        <v>16</v>
      </c>
      <c r="L236" t="s">
        <v>16</v>
      </c>
      <c r="M236" t="s">
        <v>22</v>
      </c>
      <c r="N236" t="s">
        <v>51</v>
      </c>
      <c r="O236" t="s">
        <v>16</v>
      </c>
      <c r="P236" t="s">
        <v>16</v>
      </c>
      <c r="Q236" t="s">
        <v>16</v>
      </c>
      <c r="R236" t="s">
        <v>16</v>
      </c>
      <c r="S236" t="s">
        <v>16</v>
      </c>
      <c r="T236" t="s">
        <v>4408</v>
      </c>
      <c r="U236" t="s">
        <v>4409</v>
      </c>
      <c r="V236" t="s">
        <v>4410</v>
      </c>
      <c r="W236" t="s">
        <v>4411</v>
      </c>
      <c r="X236" t="s">
        <v>4412</v>
      </c>
      <c r="Y236" t="s">
        <v>4413</v>
      </c>
      <c r="Z236" t="s">
        <v>4414</v>
      </c>
      <c r="AA236" t="s">
        <v>4415</v>
      </c>
      <c r="AB236" t="s">
        <v>4416</v>
      </c>
      <c r="AC236" t="s">
        <v>4417</v>
      </c>
      <c r="AD236" t="s">
        <v>4418</v>
      </c>
      <c r="AE236" t="s">
        <v>4419</v>
      </c>
      <c r="AF236" t="s">
        <v>16</v>
      </c>
      <c r="AG236">
        <v>72</v>
      </c>
      <c r="AH236">
        <v>4</v>
      </c>
      <c r="AI236">
        <v>4</v>
      </c>
      <c r="AJ236">
        <v>1</v>
      </c>
      <c r="AK236">
        <v>4</v>
      </c>
      <c r="AL236" t="s">
        <v>745</v>
      </c>
      <c r="AM236" t="s">
        <v>746</v>
      </c>
      <c r="AN236" t="s">
        <v>747</v>
      </c>
      <c r="AO236" t="s">
        <v>748</v>
      </c>
      <c r="AP236" t="s">
        <v>16</v>
      </c>
      <c r="AQ236" t="s">
        <v>16</v>
      </c>
      <c r="AR236" t="s">
        <v>749</v>
      </c>
      <c r="AS236" t="s">
        <v>750</v>
      </c>
      <c r="AT236" t="s">
        <v>4420</v>
      </c>
      <c r="AU236">
        <v>2023</v>
      </c>
      <c r="AV236">
        <v>13</v>
      </c>
      <c r="AW236">
        <v>11</v>
      </c>
      <c r="AX236" t="s">
        <v>16</v>
      </c>
      <c r="AY236" t="s">
        <v>16</v>
      </c>
      <c r="AZ236" t="s">
        <v>16</v>
      </c>
      <c r="BA236" t="s">
        <v>16</v>
      </c>
      <c r="BB236" t="s">
        <v>16</v>
      </c>
      <c r="BC236" t="s">
        <v>16</v>
      </c>
      <c r="BD236" t="s">
        <v>4421</v>
      </c>
      <c r="BE236" t="s">
        <v>4422</v>
      </c>
      <c r="BF236" t="str">
        <f>HYPERLINK("http://dx.doi.org/10.1093/g3journal/jkad195","http://dx.doi.org/10.1093/g3journal/jkad195")</f>
        <v>http://dx.doi.org/10.1093/g3journal/jkad195</v>
      </c>
      <c r="BG236" t="s">
        <v>16</v>
      </c>
      <c r="BH236" t="s">
        <v>4423</v>
      </c>
      <c r="BI236">
        <v>15</v>
      </c>
      <c r="BJ236" t="s">
        <v>339</v>
      </c>
      <c r="BK236" t="s">
        <v>73</v>
      </c>
      <c r="BL236" t="s">
        <v>339</v>
      </c>
      <c r="BM236" t="s">
        <v>4424</v>
      </c>
      <c r="BN236">
        <v>37625792</v>
      </c>
      <c r="BO236" t="s">
        <v>1409</v>
      </c>
      <c r="BP236" t="s">
        <v>16</v>
      </c>
      <c r="BQ236" t="s">
        <v>16</v>
      </c>
      <c r="BR236" t="s">
        <v>44</v>
      </c>
      <c r="BS236" t="s">
        <v>4425</v>
      </c>
      <c r="BT236" t="str">
        <f>HYPERLINK("https%3A%2F%2Fwww.webofscience.com%2Fwos%2Fwoscc%2Ffull-record%2FWOS:001187049900001","View Full Record in Web of Science")</f>
        <v>View Full Record in Web of Science</v>
      </c>
    </row>
    <row r="237" spans="1:72" x14ac:dyDescent="0.2">
      <c r="A237" t="s">
        <v>46</v>
      </c>
      <c r="B237" t="s">
        <v>4426</v>
      </c>
      <c r="C237" t="s">
        <v>16</v>
      </c>
      <c r="D237" t="s">
        <v>16</v>
      </c>
      <c r="E237" t="s">
        <v>16</v>
      </c>
      <c r="F237" t="s">
        <v>4427</v>
      </c>
      <c r="G237" t="s">
        <v>16</v>
      </c>
      <c r="H237" t="s">
        <v>16</v>
      </c>
      <c r="I237" t="s">
        <v>4428</v>
      </c>
      <c r="J237" t="s">
        <v>734</v>
      </c>
      <c r="K237" t="s">
        <v>16</v>
      </c>
      <c r="L237" t="s">
        <v>16</v>
      </c>
      <c r="M237" t="s">
        <v>22</v>
      </c>
      <c r="N237" t="s">
        <v>51</v>
      </c>
      <c r="O237" t="s">
        <v>16</v>
      </c>
      <c r="P237" t="s">
        <v>16</v>
      </c>
      <c r="Q237" t="s">
        <v>16</v>
      </c>
      <c r="R237" t="s">
        <v>16</v>
      </c>
      <c r="S237" t="s">
        <v>16</v>
      </c>
      <c r="T237" t="s">
        <v>4429</v>
      </c>
      <c r="U237" t="s">
        <v>4430</v>
      </c>
      <c r="V237" t="s">
        <v>4431</v>
      </c>
      <c r="W237" t="s">
        <v>4432</v>
      </c>
      <c r="X237" t="s">
        <v>372</v>
      </c>
      <c r="Y237" t="s">
        <v>4433</v>
      </c>
      <c r="Z237" t="s">
        <v>4371</v>
      </c>
      <c r="AA237" t="s">
        <v>1591</v>
      </c>
      <c r="AB237" t="s">
        <v>4434</v>
      </c>
      <c r="AC237" t="s">
        <v>4435</v>
      </c>
      <c r="AD237" t="s">
        <v>4436</v>
      </c>
      <c r="AE237" t="s">
        <v>4437</v>
      </c>
      <c r="AF237" t="s">
        <v>16</v>
      </c>
      <c r="AG237">
        <v>60</v>
      </c>
      <c r="AH237">
        <v>43</v>
      </c>
      <c r="AI237">
        <v>44</v>
      </c>
      <c r="AJ237">
        <v>1</v>
      </c>
      <c r="AK237">
        <v>11</v>
      </c>
      <c r="AL237" t="s">
        <v>332</v>
      </c>
      <c r="AM237" t="s">
        <v>333</v>
      </c>
      <c r="AN237" t="s">
        <v>334</v>
      </c>
      <c r="AO237" t="s">
        <v>748</v>
      </c>
      <c r="AP237" t="s">
        <v>16</v>
      </c>
      <c r="AQ237" t="s">
        <v>16</v>
      </c>
      <c r="AR237" t="s">
        <v>749</v>
      </c>
      <c r="AS237" t="s">
        <v>750</v>
      </c>
      <c r="AT237" t="s">
        <v>576</v>
      </c>
      <c r="AU237">
        <v>2019</v>
      </c>
      <c r="AV237">
        <v>9</v>
      </c>
      <c r="AW237">
        <v>10</v>
      </c>
      <c r="AX237" t="s">
        <v>16</v>
      </c>
      <c r="AY237" t="s">
        <v>16</v>
      </c>
      <c r="AZ237" t="s">
        <v>16</v>
      </c>
      <c r="BA237" t="s">
        <v>16</v>
      </c>
      <c r="BB237">
        <v>3153</v>
      </c>
      <c r="BC237">
        <v>3165</v>
      </c>
      <c r="BD237" t="s">
        <v>16</v>
      </c>
      <c r="BE237" t="s">
        <v>4438</v>
      </c>
      <c r="BF237" t="str">
        <f>HYPERLINK("http://dx.doi.org/10.1534/g3.119.400406","http://dx.doi.org/10.1534/g3.119.400406")</f>
        <v>http://dx.doi.org/10.1534/g3.119.400406</v>
      </c>
      <c r="BG237" t="s">
        <v>16</v>
      </c>
      <c r="BH237" t="s">
        <v>16</v>
      </c>
      <c r="BI237">
        <v>13</v>
      </c>
      <c r="BJ237" t="s">
        <v>339</v>
      </c>
      <c r="BK237" t="s">
        <v>73</v>
      </c>
      <c r="BL237" t="s">
        <v>339</v>
      </c>
      <c r="BM237" t="s">
        <v>4439</v>
      </c>
      <c r="BN237">
        <v>31358561</v>
      </c>
      <c r="BO237" t="s">
        <v>2954</v>
      </c>
      <c r="BP237" t="s">
        <v>16</v>
      </c>
      <c r="BQ237" t="s">
        <v>16</v>
      </c>
      <c r="BR237" t="s">
        <v>44</v>
      </c>
      <c r="BS237" t="s">
        <v>4440</v>
      </c>
      <c r="BT237" t="str">
        <f>HYPERLINK("https%3A%2F%2Fwww.webofscience.com%2Fwos%2Fwoscc%2Ffull-record%2FWOS:000490151100010","View Full Record in Web of Science")</f>
        <v>View Full Record in Web of Science</v>
      </c>
    </row>
    <row r="238" spans="1:72" x14ac:dyDescent="0.2">
      <c r="A238" t="s">
        <v>46</v>
      </c>
      <c r="B238" t="s">
        <v>4441</v>
      </c>
      <c r="C238" t="s">
        <v>16</v>
      </c>
      <c r="D238" t="s">
        <v>16</v>
      </c>
      <c r="E238" t="s">
        <v>16</v>
      </c>
      <c r="F238" t="s">
        <v>4442</v>
      </c>
      <c r="G238" t="s">
        <v>16</v>
      </c>
      <c r="H238" t="s">
        <v>16</v>
      </c>
      <c r="I238" t="s">
        <v>4443</v>
      </c>
      <c r="J238" t="s">
        <v>734</v>
      </c>
      <c r="K238" t="s">
        <v>16</v>
      </c>
      <c r="L238" t="s">
        <v>16</v>
      </c>
      <c r="M238" t="s">
        <v>22</v>
      </c>
      <c r="N238" t="s">
        <v>51</v>
      </c>
      <c r="O238" t="s">
        <v>16</v>
      </c>
      <c r="P238" t="s">
        <v>16</v>
      </c>
      <c r="Q238" t="s">
        <v>16</v>
      </c>
      <c r="R238" t="s">
        <v>16</v>
      </c>
      <c r="S238" t="s">
        <v>16</v>
      </c>
      <c r="T238" t="s">
        <v>4444</v>
      </c>
      <c r="U238" t="s">
        <v>4445</v>
      </c>
      <c r="V238" t="s">
        <v>4446</v>
      </c>
      <c r="W238" t="s">
        <v>4447</v>
      </c>
      <c r="X238" t="s">
        <v>656</v>
      </c>
      <c r="Y238" t="s">
        <v>4448</v>
      </c>
      <c r="Z238" t="s">
        <v>4449</v>
      </c>
      <c r="AA238" t="s">
        <v>4450</v>
      </c>
      <c r="AB238" t="s">
        <v>4451</v>
      </c>
      <c r="AC238" t="s">
        <v>16</v>
      </c>
      <c r="AD238" t="s">
        <v>16</v>
      </c>
      <c r="AE238" t="s">
        <v>16</v>
      </c>
      <c r="AF238" t="s">
        <v>16</v>
      </c>
      <c r="AG238">
        <v>52</v>
      </c>
      <c r="AH238">
        <v>13</v>
      </c>
      <c r="AI238">
        <v>24</v>
      </c>
      <c r="AJ238">
        <v>0</v>
      </c>
      <c r="AK238">
        <v>12</v>
      </c>
      <c r="AL238" t="s">
        <v>745</v>
      </c>
      <c r="AM238" t="s">
        <v>746</v>
      </c>
      <c r="AN238" t="s">
        <v>747</v>
      </c>
      <c r="AO238" t="s">
        <v>748</v>
      </c>
      <c r="AP238" t="s">
        <v>16</v>
      </c>
      <c r="AQ238" t="s">
        <v>16</v>
      </c>
      <c r="AR238" t="s">
        <v>749</v>
      </c>
      <c r="AS238" t="s">
        <v>750</v>
      </c>
      <c r="AT238" t="s">
        <v>4452</v>
      </c>
      <c r="AU238">
        <v>2015</v>
      </c>
      <c r="AV238">
        <v>5</v>
      </c>
      <c r="AW238">
        <v>8</v>
      </c>
      <c r="AX238" t="s">
        <v>16</v>
      </c>
      <c r="AY238" t="s">
        <v>16</v>
      </c>
      <c r="AZ238" t="s">
        <v>16</v>
      </c>
      <c r="BA238" t="s">
        <v>16</v>
      </c>
      <c r="BB238">
        <v>1603</v>
      </c>
      <c r="BC238">
        <v>1612</v>
      </c>
      <c r="BD238" t="s">
        <v>16</v>
      </c>
      <c r="BE238" t="s">
        <v>4453</v>
      </c>
      <c r="BF238" t="str">
        <f>HYPERLINK("http://dx.doi.org/10.1534/g3.115.019299","http://dx.doi.org/10.1534/g3.115.019299")</f>
        <v>http://dx.doi.org/10.1534/g3.115.019299</v>
      </c>
      <c r="BG238" t="s">
        <v>16</v>
      </c>
      <c r="BH238" t="s">
        <v>16</v>
      </c>
      <c r="BI238">
        <v>10</v>
      </c>
      <c r="BJ238" t="s">
        <v>339</v>
      </c>
      <c r="BK238" t="s">
        <v>73</v>
      </c>
      <c r="BL238" t="s">
        <v>339</v>
      </c>
      <c r="BM238" t="s">
        <v>4454</v>
      </c>
      <c r="BN238">
        <v>26024866</v>
      </c>
      <c r="BO238" t="s">
        <v>1187</v>
      </c>
      <c r="BP238" t="s">
        <v>16</v>
      </c>
      <c r="BQ238" t="s">
        <v>16</v>
      </c>
      <c r="BR238" t="s">
        <v>44</v>
      </c>
      <c r="BS238" t="s">
        <v>4455</v>
      </c>
      <c r="BT238" t="str">
        <f>HYPERLINK("https%3A%2F%2Fwww.webofscience.com%2Fwos%2Fwoscc%2Ffull-record%2FWOS:000359265800007","View Full Record in Web of Science")</f>
        <v>View Full Record in Web of Science</v>
      </c>
    </row>
    <row r="239" spans="1:72" x14ac:dyDescent="0.2">
      <c r="A239" t="s">
        <v>46</v>
      </c>
      <c r="B239" t="s">
        <v>4456</v>
      </c>
      <c r="C239" t="s">
        <v>16</v>
      </c>
      <c r="D239" t="s">
        <v>16</v>
      </c>
      <c r="E239" t="s">
        <v>16</v>
      </c>
      <c r="F239" t="s">
        <v>4457</v>
      </c>
      <c r="G239" t="s">
        <v>16</v>
      </c>
      <c r="H239" t="s">
        <v>16</v>
      </c>
      <c r="I239" t="s">
        <v>4458</v>
      </c>
      <c r="J239" t="s">
        <v>3714</v>
      </c>
      <c r="K239" t="s">
        <v>16</v>
      </c>
      <c r="L239" t="s">
        <v>16</v>
      </c>
      <c r="M239" t="s">
        <v>22</v>
      </c>
      <c r="N239" t="s">
        <v>51</v>
      </c>
      <c r="O239" t="s">
        <v>16</v>
      </c>
      <c r="P239" t="s">
        <v>16</v>
      </c>
      <c r="Q239" t="s">
        <v>16</v>
      </c>
      <c r="R239" t="s">
        <v>16</v>
      </c>
      <c r="S239" t="s">
        <v>16</v>
      </c>
      <c r="T239" t="s">
        <v>16</v>
      </c>
      <c r="U239" t="s">
        <v>4459</v>
      </c>
      <c r="V239" t="s">
        <v>4460</v>
      </c>
      <c r="W239" t="s">
        <v>4461</v>
      </c>
      <c r="X239" t="s">
        <v>4462</v>
      </c>
      <c r="Y239" t="s">
        <v>4463</v>
      </c>
      <c r="Z239" t="s">
        <v>4464</v>
      </c>
      <c r="AA239" t="s">
        <v>4465</v>
      </c>
      <c r="AB239" t="s">
        <v>4466</v>
      </c>
      <c r="AC239" t="s">
        <v>4467</v>
      </c>
      <c r="AD239" t="s">
        <v>4468</v>
      </c>
      <c r="AE239" t="s">
        <v>4469</v>
      </c>
      <c r="AF239" t="s">
        <v>16</v>
      </c>
      <c r="AG239">
        <v>37</v>
      </c>
      <c r="AH239">
        <v>8</v>
      </c>
      <c r="AI239">
        <v>8</v>
      </c>
      <c r="AJ239">
        <v>3</v>
      </c>
      <c r="AK239">
        <v>9</v>
      </c>
      <c r="AL239" t="s">
        <v>63</v>
      </c>
      <c r="AM239" t="s">
        <v>64</v>
      </c>
      <c r="AN239" t="s">
        <v>65</v>
      </c>
      <c r="AO239" t="s">
        <v>16</v>
      </c>
      <c r="AP239" t="s">
        <v>3722</v>
      </c>
      <c r="AQ239" t="s">
        <v>16</v>
      </c>
      <c r="AR239" t="s">
        <v>3723</v>
      </c>
      <c r="AS239" t="s">
        <v>3724</v>
      </c>
      <c r="AT239" t="s">
        <v>1164</v>
      </c>
      <c r="AU239">
        <v>2023</v>
      </c>
      <c r="AV239">
        <v>16</v>
      </c>
      <c r="AW239">
        <v>2</v>
      </c>
      <c r="AX239" t="s">
        <v>16</v>
      </c>
      <c r="AY239" t="s">
        <v>16</v>
      </c>
      <c r="AZ239" t="s">
        <v>16</v>
      </c>
      <c r="BA239" t="s">
        <v>16</v>
      </c>
      <c r="BB239" t="s">
        <v>16</v>
      </c>
      <c r="BC239" t="s">
        <v>16</v>
      </c>
      <c r="BD239" t="s">
        <v>16</v>
      </c>
      <c r="BE239" t="s">
        <v>4470</v>
      </c>
      <c r="BF239" t="str">
        <f>HYPERLINK("http://dx.doi.org/10.1002/tpg2.20327","http://dx.doi.org/10.1002/tpg2.20327")</f>
        <v>http://dx.doi.org/10.1002/tpg2.20327</v>
      </c>
      <c r="BG239" t="s">
        <v>16</v>
      </c>
      <c r="BH239" t="s">
        <v>4471</v>
      </c>
      <c r="BI239">
        <v>14</v>
      </c>
      <c r="BJ239" t="s">
        <v>296</v>
      </c>
      <c r="BK239" t="s">
        <v>73</v>
      </c>
      <c r="BL239" t="s">
        <v>3726</v>
      </c>
      <c r="BM239" t="s">
        <v>4472</v>
      </c>
      <c r="BN239">
        <v>37177848</v>
      </c>
      <c r="BO239" t="s">
        <v>815</v>
      </c>
      <c r="BP239" t="s">
        <v>16</v>
      </c>
      <c r="BQ239" t="s">
        <v>16</v>
      </c>
      <c r="BR239" t="s">
        <v>44</v>
      </c>
      <c r="BS239" t="s">
        <v>4473</v>
      </c>
      <c r="BT239" t="str">
        <f>HYPERLINK("https%3A%2F%2Fwww.webofscience.com%2Fwos%2Fwoscc%2Ffull-record%2FWOS:000986376300001","View Full Record in Web of Science")</f>
        <v>View Full Record in Web of Science</v>
      </c>
    </row>
    <row r="240" spans="1:72" x14ac:dyDescent="0.2">
      <c r="A240" t="s">
        <v>141</v>
      </c>
      <c r="B240" t="s">
        <v>4474</v>
      </c>
      <c r="C240" t="s">
        <v>16</v>
      </c>
      <c r="D240" t="s">
        <v>4475</v>
      </c>
      <c r="E240" t="s">
        <v>16</v>
      </c>
      <c r="F240" t="s">
        <v>4476</v>
      </c>
      <c r="G240" t="s">
        <v>16</v>
      </c>
      <c r="H240" t="s">
        <v>16</v>
      </c>
      <c r="I240" t="s">
        <v>4477</v>
      </c>
      <c r="J240" t="s">
        <v>4478</v>
      </c>
      <c r="K240" t="s">
        <v>16</v>
      </c>
      <c r="L240" t="s">
        <v>16</v>
      </c>
      <c r="M240" t="s">
        <v>22</v>
      </c>
      <c r="N240" t="s">
        <v>147</v>
      </c>
      <c r="O240" t="s">
        <v>4479</v>
      </c>
      <c r="P240" t="s">
        <v>4480</v>
      </c>
      <c r="Q240" t="s">
        <v>4481</v>
      </c>
      <c r="R240" t="s">
        <v>16</v>
      </c>
      <c r="S240" t="s">
        <v>16</v>
      </c>
      <c r="T240" t="s">
        <v>4482</v>
      </c>
      <c r="U240" t="s">
        <v>4483</v>
      </c>
      <c r="V240" t="s">
        <v>4484</v>
      </c>
      <c r="W240" t="s">
        <v>4485</v>
      </c>
      <c r="X240" t="s">
        <v>4486</v>
      </c>
      <c r="Y240" t="s">
        <v>4487</v>
      </c>
      <c r="Z240" t="s">
        <v>16</v>
      </c>
      <c r="AA240" t="s">
        <v>16</v>
      </c>
      <c r="AB240" t="s">
        <v>16</v>
      </c>
      <c r="AC240" t="s">
        <v>16</v>
      </c>
      <c r="AD240" t="s">
        <v>16</v>
      </c>
      <c r="AE240" t="s">
        <v>16</v>
      </c>
      <c r="AF240" t="s">
        <v>16</v>
      </c>
      <c r="AG240">
        <v>12</v>
      </c>
      <c r="AH240">
        <v>11</v>
      </c>
      <c r="AI240">
        <v>14</v>
      </c>
      <c r="AJ240">
        <v>12</v>
      </c>
      <c r="AK240">
        <v>105</v>
      </c>
      <c r="AL240" t="s">
        <v>4488</v>
      </c>
      <c r="AM240" t="s">
        <v>2342</v>
      </c>
      <c r="AN240" t="s">
        <v>4489</v>
      </c>
      <c r="AO240" t="s">
        <v>16</v>
      </c>
      <c r="AP240" t="s">
        <v>16</v>
      </c>
      <c r="AQ240" t="s">
        <v>4490</v>
      </c>
      <c r="AR240" t="s">
        <v>16</v>
      </c>
      <c r="AS240" t="s">
        <v>16</v>
      </c>
      <c r="AT240" t="s">
        <v>16</v>
      </c>
      <c r="AU240">
        <v>2005</v>
      </c>
      <c r="AV240" t="s">
        <v>16</v>
      </c>
      <c r="AW240" t="s">
        <v>16</v>
      </c>
      <c r="AX240" t="s">
        <v>16</v>
      </c>
      <c r="AY240" t="s">
        <v>16</v>
      </c>
      <c r="AZ240" t="s">
        <v>16</v>
      </c>
      <c r="BA240" t="s">
        <v>16</v>
      </c>
      <c r="BB240">
        <v>81</v>
      </c>
      <c r="BC240">
        <v>88</v>
      </c>
      <c r="BD240" t="s">
        <v>16</v>
      </c>
      <c r="BE240" t="s">
        <v>4491</v>
      </c>
      <c r="BF240" t="str">
        <f>HYPERLINK("http://dx.doi.org/10.1007/4-431-31014-2_10","http://dx.doi.org/10.1007/4-431-31014-2_10")</f>
        <v>http://dx.doi.org/10.1007/4-431-31014-2_10</v>
      </c>
      <c r="BG240" t="s">
        <v>16</v>
      </c>
      <c r="BH240" t="s">
        <v>16</v>
      </c>
      <c r="BI240">
        <v>8</v>
      </c>
      <c r="BJ240" t="s">
        <v>296</v>
      </c>
      <c r="BK240" t="s">
        <v>167</v>
      </c>
      <c r="BL240" t="s">
        <v>4492</v>
      </c>
      <c r="BM240" t="s">
        <v>4493</v>
      </c>
      <c r="BN240" t="s">
        <v>16</v>
      </c>
      <c r="BO240" t="s">
        <v>16</v>
      </c>
      <c r="BP240" t="s">
        <v>16</v>
      </c>
      <c r="BQ240" t="s">
        <v>16</v>
      </c>
      <c r="BR240" t="s">
        <v>44</v>
      </c>
      <c r="BS240" t="s">
        <v>4494</v>
      </c>
      <c r="BT240" t="str">
        <f>HYPERLINK("https%3A%2F%2Fwww.webofscience.com%2Fwos%2Fwoscc%2Ffull-record%2FWOS:000240025800010","View Full Record in Web of Science")</f>
        <v>View Full Record in Web of Science</v>
      </c>
    </row>
    <row r="241" spans="1:72" x14ac:dyDescent="0.2">
      <c r="A241" t="s">
        <v>46</v>
      </c>
      <c r="B241" t="s">
        <v>4495</v>
      </c>
      <c r="C241" t="s">
        <v>16</v>
      </c>
      <c r="D241" t="s">
        <v>16</v>
      </c>
      <c r="E241" t="s">
        <v>16</v>
      </c>
      <c r="F241" t="s">
        <v>4496</v>
      </c>
      <c r="G241" t="s">
        <v>16</v>
      </c>
      <c r="H241" t="s">
        <v>16</v>
      </c>
      <c r="I241" t="s">
        <v>4497</v>
      </c>
      <c r="J241" t="s">
        <v>50</v>
      </c>
      <c r="K241" t="s">
        <v>16</v>
      </c>
      <c r="L241" t="s">
        <v>16</v>
      </c>
      <c r="M241" t="s">
        <v>22</v>
      </c>
      <c r="N241" t="s">
        <v>51</v>
      </c>
      <c r="O241" t="s">
        <v>16</v>
      </c>
      <c r="P241" t="s">
        <v>16</v>
      </c>
      <c r="Q241" t="s">
        <v>16</v>
      </c>
      <c r="R241" t="s">
        <v>16</v>
      </c>
      <c r="S241" t="s">
        <v>16</v>
      </c>
      <c r="T241" t="s">
        <v>16</v>
      </c>
      <c r="U241" t="s">
        <v>4498</v>
      </c>
      <c r="V241" t="s">
        <v>4499</v>
      </c>
      <c r="W241" t="s">
        <v>4500</v>
      </c>
      <c r="X241" t="s">
        <v>4501</v>
      </c>
      <c r="Y241" t="s">
        <v>4502</v>
      </c>
      <c r="Z241" t="s">
        <v>4503</v>
      </c>
      <c r="AA241" t="s">
        <v>16</v>
      </c>
      <c r="AB241" t="s">
        <v>4504</v>
      </c>
      <c r="AC241" t="s">
        <v>4505</v>
      </c>
      <c r="AD241" t="s">
        <v>4506</v>
      </c>
      <c r="AE241" t="s">
        <v>4507</v>
      </c>
      <c r="AF241" t="s">
        <v>16</v>
      </c>
      <c r="AG241">
        <v>113</v>
      </c>
      <c r="AH241">
        <v>12</v>
      </c>
      <c r="AI241">
        <v>13</v>
      </c>
      <c r="AJ241">
        <v>2</v>
      </c>
      <c r="AK241">
        <v>15</v>
      </c>
      <c r="AL241" t="s">
        <v>63</v>
      </c>
      <c r="AM241" t="s">
        <v>64</v>
      </c>
      <c r="AN241" t="s">
        <v>65</v>
      </c>
      <c r="AO241" t="s">
        <v>66</v>
      </c>
      <c r="AP241" t="s">
        <v>67</v>
      </c>
      <c r="AQ241" t="s">
        <v>16</v>
      </c>
      <c r="AR241" t="s">
        <v>68</v>
      </c>
      <c r="AS241" t="s">
        <v>69</v>
      </c>
      <c r="AT241" t="s">
        <v>623</v>
      </c>
      <c r="AU241">
        <v>2023</v>
      </c>
      <c r="AV241">
        <v>63</v>
      </c>
      <c r="AW241">
        <v>2</v>
      </c>
      <c r="AX241" t="s">
        <v>16</v>
      </c>
      <c r="AY241" t="s">
        <v>16</v>
      </c>
      <c r="AZ241" t="s">
        <v>16</v>
      </c>
      <c r="BA241" t="s">
        <v>16</v>
      </c>
      <c r="BB241">
        <v>511</v>
      </c>
      <c r="BC241">
        <v>534</v>
      </c>
      <c r="BD241" t="s">
        <v>16</v>
      </c>
      <c r="BE241" t="s">
        <v>4508</v>
      </c>
      <c r="BF241" t="str">
        <f>HYPERLINK("http://dx.doi.org/10.1002/csc2.20857","http://dx.doi.org/10.1002/csc2.20857")</f>
        <v>http://dx.doi.org/10.1002/csc2.20857</v>
      </c>
      <c r="BG241" t="s">
        <v>16</v>
      </c>
      <c r="BH241" t="s">
        <v>4509</v>
      </c>
      <c r="BI241">
        <v>24</v>
      </c>
      <c r="BJ241" t="s">
        <v>40</v>
      </c>
      <c r="BK241" t="s">
        <v>73</v>
      </c>
      <c r="BL241" t="s">
        <v>42</v>
      </c>
      <c r="BM241" t="s">
        <v>4510</v>
      </c>
      <c r="BN241" t="s">
        <v>16</v>
      </c>
      <c r="BO241" t="s">
        <v>772</v>
      </c>
      <c r="BP241" t="s">
        <v>16</v>
      </c>
      <c r="BQ241" t="s">
        <v>16</v>
      </c>
      <c r="BR241" t="s">
        <v>44</v>
      </c>
      <c r="BS241" t="s">
        <v>4511</v>
      </c>
      <c r="BT241" t="str">
        <f>HYPERLINK("https%3A%2F%2Fwww.webofscience.com%2Fwos%2Fwoscc%2Ffull-record%2FWOS:000922484600001","View Full Record in Web of Science")</f>
        <v>View Full Record in Web of Science</v>
      </c>
    </row>
    <row r="242" spans="1:72" x14ac:dyDescent="0.2">
      <c r="A242" t="s">
        <v>46</v>
      </c>
      <c r="B242" t="s">
        <v>4512</v>
      </c>
      <c r="C242" t="s">
        <v>16</v>
      </c>
      <c r="D242" t="s">
        <v>16</v>
      </c>
      <c r="E242" t="s">
        <v>16</v>
      </c>
      <c r="F242" t="s">
        <v>4513</v>
      </c>
      <c r="G242" t="s">
        <v>16</v>
      </c>
      <c r="H242" t="s">
        <v>16</v>
      </c>
      <c r="I242" t="s">
        <v>4514</v>
      </c>
      <c r="J242" t="s">
        <v>3539</v>
      </c>
      <c r="K242" t="s">
        <v>16</v>
      </c>
      <c r="L242" t="s">
        <v>16</v>
      </c>
      <c r="M242" t="s">
        <v>22</v>
      </c>
      <c r="N242" t="s">
        <v>51</v>
      </c>
      <c r="O242" t="s">
        <v>16</v>
      </c>
      <c r="P242" t="s">
        <v>16</v>
      </c>
      <c r="Q242" t="s">
        <v>16</v>
      </c>
      <c r="R242" t="s">
        <v>16</v>
      </c>
      <c r="S242" t="s">
        <v>16</v>
      </c>
      <c r="T242" t="s">
        <v>4515</v>
      </c>
      <c r="U242" t="s">
        <v>4516</v>
      </c>
      <c r="V242" t="s">
        <v>4517</v>
      </c>
      <c r="W242" t="s">
        <v>4518</v>
      </c>
      <c r="X242" t="s">
        <v>4519</v>
      </c>
      <c r="Y242" t="s">
        <v>4520</v>
      </c>
      <c r="Z242" t="s">
        <v>4521</v>
      </c>
      <c r="AA242" t="s">
        <v>4522</v>
      </c>
      <c r="AB242" t="s">
        <v>4523</v>
      </c>
      <c r="AC242" t="s">
        <v>4524</v>
      </c>
      <c r="AD242" t="s">
        <v>4525</v>
      </c>
      <c r="AE242" t="s">
        <v>4526</v>
      </c>
      <c r="AF242" t="s">
        <v>16</v>
      </c>
      <c r="AG242">
        <v>67</v>
      </c>
      <c r="AH242">
        <v>16</v>
      </c>
      <c r="AI242">
        <v>16</v>
      </c>
      <c r="AJ242">
        <v>1</v>
      </c>
      <c r="AK242">
        <v>39</v>
      </c>
      <c r="AL242" t="s">
        <v>1323</v>
      </c>
      <c r="AM242" t="s">
        <v>570</v>
      </c>
      <c r="AN242" t="s">
        <v>1324</v>
      </c>
      <c r="AO242" t="s">
        <v>3547</v>
      </c>
      <c r="AP242" t="s">
        <v>3548</v>
      </c>
      <c r="AQ242" t="s">
        <v>16</v>
      </c>
      <c r="AR242" t="s">
        <v>3549</v>
      </c>
      <c r="AS242" t="s">
        <v>3550</v>
      </c>
      <c r="AT242" t="s">
        <v>318</v>
      </c>
      <c r="AU242">
        <v>2017</v>
      </c>
      <c r="AV242">
        <v>214</v>
      </c>
      <c r="AW242" t="s">
        <v>16</v>
      </c>
      <c r="AX242" t="s">
        <v>16</v>
      </c>
      <c r="AY242" t="s">
        <v>16</v>
      </c>
      <c r="AZ242" t="s">
        <v>16</v>
      </c>
      <c r="BA242" t="s">
        <v>16</v>
      </c>
      <c r="BB242">
        <v>331</v>
      </c>
      <c r="BC242">
        <v>340</v>
      </c>
      <c r="BD242" t="s">
        <v>16</v>
      </c>
      <c r="BE242" t="s">
        <v>4527</v>
      </c>
      <c r="BF242" t="str">
        <f>HYPERLINK("http://dx.doi.org/10.1016/j.fcr.2017.09.024","http://dx.doi.org/10.1016/j.fcr.2017.09.024")</f>
        <v>http://dx.doi.org/10.1016/j.fcr.2017.09.024</v>
      </c>
      <c r="BG242" t="s">
        <v>16</v>
      </c>
      <c r="BH242" t="s">
        <v>16</v>
      </c>
      <c r="BI242">
        <v>10</v>
      </c>
      <c r="BJ242" t="s">
        <v>40</v>
      </c>
      <c r="BK242" t="s">
        <v>73</v>
      </c>
      <c r="BL242" t="s">
        <v>42</v>
      </c>
      <c r="BM242" t="s">
        <v>4528</v>
      </c>
      <c r="BN242" t="s">
        <v>16</v>
      </c>
      <c r="BO242" t="s">
        <v>16</v>
      </c>
      <c r="BP242" t="s">
        <v>16</v>
      </c>
      <c r="BQ242" t="s">
        <v>16</v>
      </c>
      <c r="BR242" t="s">
        <v>44</v>
      </c>
      <c r="BS242" t="s">
        <v>4529</v>
      </c>
      <c r="BT242" t="str">
        <f>HYPERLINK("https%3A%2F%2Fwww.webofscience.com%2Fwos%2Fwoscc%2Ffull-record%2FWOS:000414621900034","View Full Record in Web of Science")</f>
        <v>View Full Record in Web of Science</v>
      </c>
    </row>
    <row r="243" spans="1:72" x14ac:dyDescent="0.2">
      <c r="A243" t="s">
        <v>46</v>
      </c>
      <c r="B243" t="s">
        <v>4530</v>
      </c>
      <c r="C243" t="s">
        <v>16</v>
      </c>
      <c r="D243" t="s">
        <v>16</v>
      </c>
      <c r="E243" t="s">
        <v>16</v>
      </c>
      <c r="F243" t="s">
        <v>4531</v>
      </c>
      <c r="G243" t="s">
        <v>16</v>
      </c>
      <c r="H243" t="s">
        <v>16</v>
      </c>
      <c r="I243" t="s">
        <v>4532</v>
      </c>
      <c r="J243" t="s">
        <v>4533</v>
      </c>
      <c r="K243" t="s">
        <v>16</v>
      </c>
      <c r="L243" t="s">
        <v>16</v>
      </c>
      <c r="M243" t="s">
        <v>22</v>
      </c>
      <c r="N243" t="s">
        <v>51</v>
      </c>
      <c r="O243" t="s">
        <v>16</v>
      </c>
      <c r="P243" t="s">
        <v>16</v>
      </c>
      <c r="Q243" t="s">
        <v>16</v>
      </c>
      <c r="R243" t="s">
        <v>16</v>
      </c>
      <c r="S243" t="s">
        <v>16</v>
      </c>
      <c r="T243" t="s">
        <v>4534</v>
      </c>
      <c r="U243" t="s">
        <v>4535</v>
      </c>
      <c r="V243" t="s">
        <v>4536</v>
      </c>
      <c r="W243" t="s">
        <v>4537</v>
      </c>
      <c r="X243" t="s">
        <v>4538</v>
      </c>
      <c r="Y243" t="s">
        <v>4539</v>
      </c>
      <c r="Z243" t="s">
        <v>3546</v>
      </c>
      <c r="AA243" t="s">
        <v>1246</v>
      </c>
      <c r="AB243" t="s">
        <v>1459</v>
      </c>
      <c r="AC243" t="s">
        <v>16</v>
      </c>
      <c r="AD243" t="s">
        <v>16</v>
      </c>
      <c r="AE243" t="s">
        <v>16</v>
      </c>
      <c r="AF243" t="s">
        <v>16</v>
      </c>
      <c r="AG243">
        <v>35</v>
      </c>
      <c r="AH243">
        <v>15</v>
      </c>
      <c r="AI243">
        <v>16</v>
      </c>
      <c r="AJ243">
        <v>0</v>
      </c>
      <c r="AK243">
        <v>7</v>
      </c>
      <c r="AL243" t="s">
        <v>4540</v>
      </c>
      <c r="AM243" t="s">
        <v>721</v>
      </c>
      <c r="AN243" t="s">
        <v>4541</v>
      </c>
      <c r="AO243" t="s">
        <v>4542</v>
      </c>
      <c r="AP243" t="s">
        <v>4543</v>
      </c>
      <c r="AQ243" t="s">
        <v>16</v>
      </c>
      <c r="AR243" t="s">
        <v>4544</v>
      </c>
      <c r="AS243" t="s">
        <v>4545</v>
      </c>
      <c r="AT243" t="s">
        <v>623</v>
      </c>
      <c r="AU243">
        <v>2008</v>
      </c>
      <c r="AV243">
        <v>96</v>
      </c>
      <c r="AW243" t="s">
        <v>2092</v>
      </c>
      <c r="AX243" t="s">
        <v>16</v>
      </c>
      <c r="AY243" t="s">
        <v>16</v>
      </c>
      <c r="AZ243" t="s">
        <v>16</v>
      </c>
      <c r="BA243" t="s">
        <v>16</v>
      </c>
      <c r="BB243">
        <v>195</v>
      </c>
      <c r="BC243">
        <v>206</v>
      </c>
      <c r="BD243" t="s">
        <v>16</v>
      </c>
      <c r="BE243" t="s">
        <v>4546</v>
      </c>
      <c r="BF243" t="str">
        <f>HYPERLINK("http://dx.doi.org/10.1016/j.agsy.2007.08.002","http://dx.doi.org/10.1016/j.agsy.2007.08.002")</f>
        <v>http://dx.doi.org/10.1016/j.agsy.2007.08.002</v>
      </c>
      <c r="BG243" t="s">
        <v>16</v>
      </c>
      <c r="BH243" t="s">
        <v>16</v>
      </c>
      <c r="BI243">
        <v>12</v>
      </c>
      <c r="BJ243" t="s">
        <v>296</v>
      </c>
      <c r="BK243" t="s">
        <v>73</v>
      </c>
      <c r="BL243" t="s">
        <v>42</v>
      </c>
      <c r="BM243" t="s">
        <v>4547</v>
      </c>
      <c r="BN243" t="s">
        <v>16</v>
      </c>
      <c r="BO243" t="s">
        <v>16</v>
      </c>
      <c r="BP243" t="s">
        <v>16</v>
      </c>
      <c r="BQ243" t="s">
        <v>16</v>
      </c>
      <c r="BR243" t="s">
        <v>44</v>
      </c>
      <c r="BS243" t="s">
        <v>4548</v>
      </c>
      <c r="BT243" t="str">
        <f>HYPERLINK("https%3A%2F%2Fwww.webofscience.com%2Fwos%2Fwoscc%2Ffull-record%2FWOS:000253021100017","View Full Record in Web of Science")</f>
        <v>View Full Record in Web of Science</v>
      </c>
    </row>
    <row r="244" spans="1:72" x14ac:dyDescent="0.2">
      <c r="A244" t="s">
        <v>141</v>
      </c>
      <c r="B244" t="s">
        <v>4549</v>
      </c>
      <c r="C244" t="s">
        <v>16</v>
      </c>
      <c r="D244" t="s">
        <v>4550</v>
      </c>
      <c r="E244" t="s">
        <v>16</v>
      </c>
      <c r="F244" t="s">
        <v>4549</v>
      </c>
      <c r="G244" t="s">
        <v>16</v>
      </c>
      <c r="H244" t="s">
        <v>16</v>
      </c>
      <c r="I244" t="s">
        <v>4551</v>
      </c>
      <c r="J244" t="s">
        <v>4552</v>
      </c>
      <c r="K244" t="s">
        <v>4553</v>
      </c>
      <c r="L244" t="s">
        <v>16</v>
      </c>
      <c r="M244" t="s">
        <v>22</v>
      </c>
      <c r="N244" t="s">
        <v>147</v>
      </c>
      <c r="O244" t="s">
        <v>4554</v>
      </c>
      <c r="P244" t="s">
        <v>4555</v>
      </c>
      <c r="Q244" t="s">
        <v>4556</v>
      </c>
      <c r="R244" t="s">
        <v>16</v>
      </c>
      <c r="S244" t="s">
        <v>16</v>
      </c>
      <c r="T244" t="s">
        <v>16</v>
      </c>
      <c r="U244" t="s">
        <v>4557</v>
      </c>
      <c r="V244" t="s">
        <v>4558</v>
      </c>
      <c r="W244" t="s">
        <v>4559</v>
      </c>
      <c r="X244" t="s">
        <v>635</v>
      </c>
      <c r="Y244" t="s">
        <v>4560</v>
      </c>
      <c r="Z244" t="s">
        <v>16</v>
      </c>
      <c r="AA244" t="s">
        <v>4561</v>
      </c>
      <c r="AB244" t="s">
        <v>16</v>
      </c>
      <c r="AC244" t="s">
        <v>16</v>
      </c>
      <c r="AD244" t="s">
        <v>16</v>
      </c>
      <c r="AE244" t="s">
        <v>16</v>
      </c>
      <c r="AF244" t="s">
        <v>16</v>
      </c>
      <c r="AG244">
        <v>51</v>
      </c>
      <c r="AH244">
        <v>2</v>
      </c>
      <c r="AI244">
        <v>3</v>
      </c>
      <c r="AJ244">
        <v>0</v>
      </c>
      <c r="AK244">
        <v>4</v>
      </c>
      <c r="AL244" t="s">
        <v>128</v>
      </c>
      <c r="AM244" t="s">
        <v>225</v>
      </c>
      <c r="AN244" t="s">
        <v>788</v>
      </c>
      <c r="AO244" t="s">
        <v>4562</v>
      </c>
      <c r="AP244" t="s">
        <v>16</v>
      </c>
      <c r="AQ244" t="s">
        <v>4563</v>
      </c>
      <c r="AR244" t="s">
        <v>4564</v>
      </c>
      <c r="AS244" t="s">
        <v>4565</v>
      </c>
      <c r="AT244" t="s">
        <v>16</v>
      </c>
      <c r="AU244">
        <v>2000</v>
      </c>
      <c r="AV244">
        <v>34</v>
      </c>
      <c r="AW244" t="s">
        <v>16</v>
      </c>
      <c r="AX244" t="s">
        <v>16</v>
      </c>
      <c r="AY244" t="s">
        <v>16</v>
      </c>
      <c r="AZ244" t="s">
        <v>16</v>
      </c>
      <c r="BA244" t="s">
        <v>16</v>
      </c>
      <c r="BB244">
        <v>265</v>
      </c>
      <c r="BC244">
        <v>278</v>
      </c>
      <c r="BD244" t="s">
        <v>16</v>
      </c>
      <c r="BE244" t="s">
        <v>16</v>
      </c>
      <c r="BF244" t="s">
        <v>16</v>
      </c>
      <c r="BG244" t="s">
        <v>16</v>
      </c>
      <c r="BH244" t="s">
        <v>16</v>
      </c>
      <c r="BI244">
        <v>14</v>
      </c>
      <c r="BJ244" t="s">
        <v>40</v>
      </c>
      <c r="BK244" t="s">
        <v>167</v>
      </c>
      <c r="BL244" t="s">
        <v>42</v>
      </c>
      <c r="BM244" t="s">
        <v>4566</v>
      </c>
      <c r="BN244" t="s">
        <v>16</v>
      </c>
      <c r="BO244" t="s">
        <v>16</v>
      </c>
      <c r="BP244" t="s">
        <v>16</v>
      </c>
      <c r="BQ244" t="s">
        <v>16</v>
      </c>
      <c r="BR244" t="s">
        <v>44</v>
      </c>
      <c r="BS244" t="s">
        <v>4567</v>
      </c>
      <c r="BT244" t="str">
        <f>HYPERLINK("https%3A%2F%2Fwww.webofscience.com%2Fwos%2Fwoscc%2Ffull-record%2FWOS:000085691300026","View Full Record in Web of Science")</f>
        <v>View Full Record in Web of Science</v>
      </c>
    </row>
    <row r="245" spans="1:72" x14ac:dyDescent="0.2">
      <c r="A245" t="s">
        <v>46</v>
      </c>
      <c r="B245" t="s">
        <v>4568</v>
      </c>
      <c r="C245" t="s">
        <v>16</v>
      </c>
      <c r="D245" t="s">
        <v>16</v>
      </c>
      <c r="E245" t="s">
        <v>16</v>
      </c>
      <c r="F245" t="s">
        <v>4569</v>
      </c>
      <c r="G245" t="s">
        <v>16</v>
      </c>
      <c r="H245" t="s">
        <v>16</v>
      </c>
      <c r="I245" t="s">
        <v>4570</v>
      </c>
      <c r="J245" t="s">
        <v>326</v>
      </c>
      <c r="K245" t="s">
        <v>16</v>
      </c>
      <c r="L245" t="s">
        <v>16</v>
      </c>
      <c r="M245" t="s">
        <v>22</v>
      </c>
      <c r="N245" t="s">
        <v>51</v>
      </c>
      <c r="O245" t="s">
        <v>16</v>
      </c>
      <c r="P245" t="s">
        <v>16</v>
      </c>
      <c r="Q245" t="s">
        <v>16</v>
      </c>
      <c r="R245" t="s">
        <v>16</v>
      </c>
      <c r="S245" t="s">
        <v>16</v>
      </c>
      <c r="T245" t="s">
        <v>4571</v>
      </c>
      <c r="U245" t="s">
        <v>4572</v>
      </c>
      <c r="V245" t="s">
        <v>4573</v>
      </c>
      <c r="W245" t="s">
        <v>4574</v>
      </c>
      <c r="X245" t="s">
        <v>4575</v>
      </c>
      <c r="Y245" t="s">
        <v>4576</v>
      </c>
      <c r="Z245" t="s">
        <v>4577</v>
      </c>
      <c r="AA245" t="s">
        <v>4578</v>
      </c>
      <c r="AB245" t="s">
        <v>4579</v>
      </c>
      <c r="AC245" t="s">
        <v>4580</v>
      </c>
      <c r="AD245" t="s">
        <v>4581</v>
      </c>
      <c r="AE245" t="s">
        <v>4582</v>
      </c>
      <c r="AF245" t="s">
        <v>16</v>
      </c>
      <c r="AG245">
        <v>28</v>
      </c>
      <c r="AH245">
        <v>20</v>
      </c>
      <c r="AI245">
        <v>21</v>
      </c>
      <c r="AJ245">
        <v>2</v>
      </c>
      <c r="AK245">
        <v>12</v>
      </c>
      <c r="AL245" t="s">
        <v>332</v>
      </c>
      <c r="AM245" t="s">
        <v>333</v>
      </c>
      <c r="AN245" t="s">
        <v>334</v>
      </c>
      <c r="AO245" t="s">
        <v>335</v>
      </c>
      <c r="AP245" t="s">
        <v>336</v>
      </c>
      <c r="AQ245" t="s">
        <v>16</v>
      </c>
      <c r="AR245" t="s">
        <v>326</v>
      </c>
      <c r="AS245" t="s">
        <v>337</v>
      </c>
      <c r="AT245" t="s">
        <v>1138</v>
      </c>
      <c r="AU245">
        <v>2018</v>
      </c>
      <c r="AV245">
        <v>209</v>
      </c>
      <c r="AW245">
        <v>3</v>
      </c>
      <c r="AX245" t="s">
        <v>16</v>
      </c>
      <c r="AY245" t="s">
        <v>16</v>
      </c>
      <c r="AZ245" t="s">
        <v>16</v>
      </c>
      <c r="BA245" t="s">
        <v>16</v>
      </c>
      <c r="BB245">
        <v>711</v>
      </c>
      <c r="BC245">
        <v>723</v>
      </c>
      <c r="BD245" t="s">
        <v>16</v>
      </c>
      <c r="BE245" t="s">
        <v>4583</v>
      </c>
      <c r="BF245" t="str">
        <f>HYPERLINK("http://dx.doi.org/10.1534/genetics.118.301015","http://dx.doi.org/10.1534/genetics.118.301015")</f>
        <v>http://dx.doi.org/10.1534/genetics.118.301015</v>
      </c>
      <c r="BG245" t="s">
        <v>16</v>
      </c>
      <c r="BH245" t="s">
        <v>16</v>
      </c>
      <c r="BI245">
        <v>13</v>
      </c>
      <c r="BJ245" t="s">
        <v>339</v>
      </c>
      <c r="BK245" t="s">
        <v>73</v>
      </c>
      <c r="BL245" t="s">
        <v>339</v>
      </c>
      <c r="BM245" t="s">
        <v>4584</v>
      </c>
      <c r="BN245">
        <v>29743175</v>
      </c>
      <c r="BO245" t="s">
        <v>2278</v>
      </c>
      <c r="BP245" t="s">
        <v>16</v>
      </c>
      <c r="BQ245" t="s">
        <v>16</v>
      </c>
      <c r="BR245" t="s">
        <v>44</v>
      </c>
      <c r="BS245" t="s">
        <v>4585</v>
      </c>
      <c r="BT245" t="str">
        <f>HYPERLINK("https%3A%2F%2Fwww.webofscience.com%2Fwos%2Fwoscc%2Ffull-record%2FWOS:000437171700007","View Full Record in Web of Science")</f>
        <v>View Full Record in Web of Science</v>
      </c>
    </row>
    <row r="246" spans="1:72" x14ac:dyDescent="0.2">
      <c r="A246" t="s">
        <v>46</v>
      </c>
      <c r="B246" t="s">
        <v>4586</v>
      </c>
      <c r="C246" t="s">
        <v>16</v>
      </c>
      <c r="D246" t="s">
        <v>16</v>
      </c>
      <c r="E246" t="s">
        <v>16</v>
      </c>
      <c r="F246" t="s">
        <v>4587</v>
      </c>
      <c r="G246" t="s">
        <v>16</v>
      </c>
      <c r="H246" t="s">
        <v>16</v>
      </c>
      <c r="I246" t="s">
        <v>4588</v>
      </c>
      <c r="J246" t="s">
        <v>117</v>
      </c>
      <c r="K246" t="s">
        <v>16</v>
      </c>
      <c r="L246" t="s">
        <v>16</v>
      </c>
      <c r="M246" t="s">
        <v>22</v>
      </c>
      <c r="N246" t="s">
        <v>51</v>
      </c>
      <c r="O246" t="s">
        <v>16</v>
      </c>
      <c r="P246" t="s">
        <v>16</v>
      </c>
      <c r="Q246" t="s">
        <v>16</v>
      </c>
      <c r="R246" t="s">
        <v>16</v>
      </c>
      <c r="S246" t="s">
        <v>16</v>
      </c>
      <c r="T246" t="s">
        <v>16</v>
      </c>
      <c r="U246" t="s">
        <v>4589</v>
      </c>
      <c r="V246" t="s">
        <v>4590</v>
      </c>
      <c r="W246" t="s">
        <v>4591</v>
      </c>
      <c r="X246" t="s">
        <v>4592</v>
      </c>
      <c r="Y246" t="s">
        <v>4593</v>
      </c>
      <c r="Z246" t="s">
        <v>4594</v>
      </c>
      <c r="AA246" t="s">
        <v>4595</v>
      </c>
      <c r="AB246" t="s">
        <v>4596</v>
      </c>
      <c r="AC246" t="s">
        <v>4597</v>
      </c>
      <c r="AD246" t="s">
        <v>4597</v>
      </c>
      <c r="AE246" t="s">
        <v>4598</v>
      </c>
      <c r="AF246" t="s">
        <v>16</v>
      </c>
      <c r="AG246">
        <v>43</v>
      </c>
      <c r="AH246">
        <v>15</v>
      </c>
      <c r="AI246">
        <v>15</v>
      </c>
      <c r="AJ246">
        <v>0</v>
      </c>
      <c r="AK246">
        <v>32</v>
      </c>
      <c r="AL246" t="s">
        <v>128</v>
      </c>
      <c r="AM246" t="s">
        <v>129</v>
      </c>
      <c r="AN246" t="s">
        <v>130</v>
      </c>
      <c r="AO246" t="s">
        <v>131</v>
      </c>
      <c r="AP246" t="s">
        <v>132</v>
      </c>
      <c r="AQ246" t="s">
        <v>16</v>
      </c>
      <c r="AR246" t="s">
        <v>133</v>
      </c>
      <c r="AS246" t="s">
        <v>134</v>
      </c>
      <c r="AT246" t="s">
        <v>1233</v>
      </c>
      <c r="AU246">
        <v>2014</v>
      </c>
      <c r="AV246">
        <v>127</v>
      </c>
      <c r="AW246">
        <v>4</v>
      </c>
      <c r="AX246" t="s">
        <v>16</v>
      </c>
      <c r="AY246" t="s">
        <v>16</v>
      </c>
      <c r="AZ246" t="s">
        <v>16</v>
      </c>
      <c r="BA246" t="s">
        <v>16</v>
      </c>
      <c r="BB246">
        <v>981</v>
      </c>
      <c r="BC246">
        <v>994</v>
      </c>
      <c r="BD246" t="s">
        <v>16</v>
      </c>
      <c r="BE246" t="s">
        <v>4599</v>
      </c>
      <c r="BF246" t="str">
        <f>HYPERLINK("http://dx.doi.org/10.1007/s00122-014-2273-3","http://dx.doi.org/10.1007/s00122-014-2273-3")</f>
        <v>http://dx.doi.org/10.1007/s00122-014-2273-3</v>
      </c>
      <c r="BG246" t="s">
        <v>16</v>
      </c>
      <c r="BH246" t="s">
        <v>16</v>
      </c>
      <c r="BI246">
        <v>14</v>
      </c>
      <c r="BJ246" t="s">
        <v>296</v>
      </c>
      <c r="BK246" t="s">
        <v>73</v>
      </c>
      <c r="BL246" t="s">
        <v>137</v>
      </c>
      <c r="BM246" t="s">
        <v>4600</v>
      </c>
      <c r="BN246">
        <v>24504554</v>
      </c>
      <c r="BO246" t="s">
        <v>16</v>
      </c>
      <c r="BP246" t="s">
        <v>16</v>
      </c>
      <c r="BQ246" t="s">
        <v>16</v>
      </c>
      <c r="BR246" t="s">
        <v>44</v>
      </c>
      <c r="BS246" t="s">
        <v>4601</v>
      </c>
      <c r="BT246" t="str">
        <f>HYPERLINK("https%3A%2F%2Fwww.webofscience.com%2Fwos%2Fwoscc%2Ffull-record%2FWOS:000333353400018","View Full Record in Web of Science")</f>
        <v>View Full Record in Web of Science</v>
      </c>
    </row>
    <row r="247" spans="1:72" x14ac:dyDescent="0.2">
      <c r="A247" t="s">
        <v>46</v>
      </c>
      <c r="B247" t="s">
        <v>4602</v>
      </c>
      <c r="C247" t="s">
        <v>16</v>
      </c>
      <c r="D247" t="s">
        <v>16</v>
      </c>
      <c r="E247" t="s">
        <v>16</v>
      </c>
      <c r="F247" t="s">
        <v>4603</v>
      </c>
      <c r="G247" t="s">
        <v>16</v>
      </c>
      <c r="H247" t="s">
        <v>16</v>
      </c>
      <c r="I247" t="s">
        <v>4604</v>
      </c>
      <c r="J247" t="s">
        <v>117</v>
      </c>
      <c r="K247" t="s">
        <v>16</v>
      </c>
      <c r="L247" t="s">
        <v>16</v>
      </c>
      <c r="M247" t="s">
        <v>22</v>
      </c>
      <c r="N247" t="s">
        <v>51</v>
      </c>
      <c r="O247" t="s">
        <v>16</v>
      </c>
      <c r="P247" t="s">
        <v>16</v>
      </c>
      <c r="Q247" t="s">
        <v>16</v>
      </c>
      <c r="R247" t="s">
        <v>16</v>
      </c>
      <c r="S247" t="s">
        <v>16</v>
      </c>
      <c r="T247" t="s">
        <v>4605</v>
      </c>
      <c r="U247" t="s">
        <v>4606</v>
      </c>
      <c r="V247" t="s">
        <v>4607</v>
      </c>
      <c r="W247" t="s">
        <v>4608</v>
      </c>
      <c r="X247" t="s">
        <v>4609</v>
      </c>
      <c r="Y247" t="s">
        <v>4610</v>
      </c>
      <c r="Z247" t="s">
        <v>4611</v>
      </c>
      <c r="AA247" t="s">
        <v>4612</v>
      </c>
      <c r="AB247" t="s">
        <v>4613</v>
      </c>
      <c r="AC247" t="s">
        <v>4614</v>
      </c>
      <c r="AD247" t="s">
        <v>4615</v>
      </c>
      <c r="AE247" t="s">
        <v>4616</v>
      </c>
      <c r="AF247" t="s">
        <v>16</v>
      </c>
      <c r="AG247">
        <v>77</v>
      </c>
      <c r="AH247">
        <v>2</v>
      </c>
      <c r="AI247">
        <v>2</v>
      </c>
      <c r="AJ247">
        <v>4</v>
      </c>
      <c r="AK247">
        <v>9</v>
      </c>
      <c r="AL247" t="s">
        <v>128</v>
      </c>
      <c r="AM247" t="s">
        <v>129</v>
      </c>
      <c r="AN247" t="s">
        <v>130</v>
      </c>
      <c r="AO247" t="s">
        <v>131</v>
      </c>
      <c r="AP247" t="s">
        <v>132</v>
      </c>
      <c r="AQ247" t="s">
        <v>16</v>
      </c>
      <c r="AR247" t="s">
        <v>133</v>
      </c>
      <c r="AS247" t="s">
        <v>134</v>
      </c>
      <c r="AT247" t="s">
        <v>135</v>
      </c>
      <c r="AU247">
        <v>2023</v>
      </c>
      <c r="AV247">
        <v>136</v>
      </c>
      <c r="AW247">
        <v>11</v>
      </c>
      <c r="AX247" t="s">
        <v>16</v>
      </c>
      <c r="AY247" t="s">
        <v>16</v>
      </c>
      <c r="AZ247" t="s">
        <v>16</v>
      </c>
      <c r="BA247" t="s">
        <v>16</v>
      </c>
      <c r="BB247" t="s">
        <v>16</v>
      </c>
      <c r="BC247" t="s">
        <v>16</v>
      </c>
      <c r="BD247">
        <v>220</v>
      </c>
      <c r="BE247" t="s">
        <v>4617</v>
      </c>
      <c r="BF247" t="str">
        <f>HYPERLINK("http://dx.doi.org/10.1007/s00122-023-04469-w","http://dx.doi.org/10.1007/s00122-023-04469-w")</f>
        <v>http://dx.doi.org/10.1007/s00122-023-04469-w</v>
      </c>
      <c r="BG247" t="s">
        <v>16</v>
      </c>
      <c r="BH247" t="s">
        <v>16</v>
      </c>
      <c r="BI247">
        <v>14</v>
      </c>
      <c r="BJ247" t="s">
        <v>296</v>
      </c>
      <c r="BK247" t="s">
        <v>73</v>
      </c>
      <c r="BL247" t="s">
        <v>137</v>
      </c>
      <c r="BM247" t="s">
        <v>4618</v>
      </c>
      <c r="BN247">
        <v>37819415</v>
      </c>
      <c r="BO247" t="s">
        <v>16</v>
      </c>
      <c r="BP247" t="s">
        <v>16</v>
      </c>
      <c r="BQ247" t="s">
        <v>16</v>
      </c>
      <c r="BR247" t="s">
        <v>44</v>
      </c>
      <c r="BS247" t="s">
        <v>4619</v>
      </c>
      <c r="BT247" t="str">
        <f>HYPERLINK("https%3A%2F%2Fwww.webofscience.com%2Fwos%2Fwoscc%2Ffull-record%2FWOS:001181203400001","View Full Record in Web of Science")</f>
        <v>View Full Record in Web of Science</v>
      </c>
    </row>
    <row r="248" spans="1:72" x14ac:dyDescent="0.2">
      <c r="A248" t="s">
        <v>46</v>
      </c>
      <c r="B248" t="s">
        <v>4620</v>
      </c>
      <c r="C248" t="s">
        <v>16</v>
      </c>
      <c r="D248" t="s">
        <v>16</v>
      </c>
      <c r="E248" t="s">
        <v>16</v>
      </c>
      <c r="F248" t="s">
        <v>4621</v>
      </c>
      <c r="G248" t="s">
        <v>16</v>
      </c>
      <c r="H248" t="s">
        <v>16</v>
      </c>
      <c r="I248" t="s">
        <v>4622</v>
      </c>
      <c r="J248" t="s">
        <v>346</v>
      </c>
      <c r="K248" t="s">
        <v>16</v>
      </c>
      <c r="L248" t="s">
        <v>16</v>
      </c>
      <c r="M248" t="s">
        <v>22</v>
      </c>
      <c r="N248" t="s">
        <v>51</v>
      </c>
      <c r="O248" t="s">
        <v>16</v>
      </c>
      <c r="P248" t="s">
        <v>16</v>
      </c>
      <c r="Q248" t="s">
        <v>16</v>
      </c>
      <c r="R248" t="s">
        <v>16</v>
      </c>
      <c r="S248" t="s">
        <v>16</v>
      </c>
      <c r="T248" t="s">
        <v>4623</v>
      </c>
      <c r="U248" t="s">
        <v>4624</v>
      </c>
      <c r="V248" t="s">
        <v>4625</v>
      </c>
      <c r="W248" t="s">
        <v>4626</v>
      </c>
      <c r="X248" t="s">
        <v>4627</v>
      </c>
      <c r="Y248" t="s">
        <v>4628</v>
      </c>
      <c r="Z248" t="s">
        <v>2573</v>
      </c>
      <c r="AA248" t="s">
        <v>16</v>
      </c>
      <c r="AB248" t="s">
        <v>16</v>
      </c>
      <c r="AC248" t="s">
        <v>16</v>
      </c>
      <c r="AD248" t="s">
        <v>16</v>
      </c>
      <c r="AE248" t="s">
        <v>16</v>
      </c>
      <c r="AF248" t="s">
        <v>16</v>
      </c>
      <c r="AG248">
        <v>34</v>
      </c>
      <c r="AH248">
        <v>63</v>
      </c>
      <c r="AI248">
        <v>78</v>
      </c>
      <c r="AJ248">
        <v>1</v>
      </c>
      <c r="AK248">
        <v>31</v>
      </c>
      <c r="AL248" t="s">
        <v>128</v>
      </c>
      <c r="AM248" t="s">
        <v>225</v>
      </c>
      <c r="AN248" t="s">
        <v>357</v>
      </c>
      <c r="AO248" t="s">
        <v>358</v>
      </c>
      <c r="AP248" t="s">
        <v>359</v>
      </c>
      <c r="AQ248" t="s">
        <v>16</v>
      </c>
      <c r="AR248" t="s">
        <v>360</v>
      </c>
      <c r="AS248" t="s">
        <v>361</v>
      </c>
      <c r="AT248" t="s">
        <v>135</v>
      </c>
      <c r="AU248">
        <v>2007</v>
      </c>
      <c r="AV248">
        <v>20</v>
      </c>
      <c r="AW248">
        <v>4</v>
      </c>
      <c r="AX248" t="s">
        <v>16</v>
      </c>
      <c r="AY248" t="s">
        <v>16</v>
      </c>
      <c r="AZ248" t="s">
        <v>16</v>
      </c>
      <c r="BA248" t="s">
        <v>16</v>
      </c>
      <c r="BB248">
        <v>295</v>
      </c>
      <c r="BC248">
        <v>308</v>
      </c>
      <c r="BD248" t="s">
        <v>16</v>
      </c>
      <c r="BE248" t="s">
        <v>4629</v>
      </c>
      <c r="BF248" t="str">
        <f>HYPERLINK("http://dx.doi.org/10.1007/s11032-007-9092-z","http://dx.doi.org/10.1007/s11032-007-9092-z")</f>
        <v>http://dx.doi.org/10.1007/s11032-007-9092-z</v>
      </c>
      <c r="BG248" t="s">
        <v>16</v>
      </c>
      <c r="BH248" t="s">
        <v>16</v>
      </c>
      <c r="BI248">
        <v>14</v>
      </c>
      <c r="BJ248" t="s">
        <v>296</v>
      </c>
      <c r="BK248" t="s">
        <v>73</v>
      </c>
      <c r="BL248" t="s">
        <v>137</v>
      </c>
      <c r="BM248" t="s">
        <v>4630</v>
      </c>
      <c r="BN248" t="s">
        <v>16</v>
      </c>
      <c r="BO248" t="s">
        <v>16</v>
      </c>
      <c r="BP248" t="s">
        <v>16</v>
      </c>
      <c r="BQ248" t="s">
        <v>16</v>
      </c>
      <c r="BR248" t="s">
        <v>44</v>
      </c>
      <c r="BS248" t="s">
        <v>4631</v>
      </c>
      <c r="BT248" t="str">
        <f>HYPERLINK("https%3A%2F%2Fwww.webofscience.com%2Fwos%2Fwoscc%2Ffull-record%2FWOS:000249793700001","View Full Record in Web of Science")</f>
        <v>View Full Record in Web of Science</v>
      </c>
    </row>
    <row r="249" spans="1:72" x14ac:dyDescent="0.2">
      <c r="A249" t="s">
        <v>46</v>
      </c>
      <c r="B249" t="s">
        <v>4632</v>
      </c>
      <c r="C249" t="s">
        <v>16</v>
      </c>
      <c r="D249" t="s">
        <v>16</v>
      </c>
      <c r="E249" t="s">
        <v>16</v>
      </c>
      <c r="F249" t="s">
        <v>4633</v>
      </c>
      <c r="G249" t="s">
        <v>16</v>
      </c>
      <c r="H249" t="s">
        <v>16</v>
      </c>
      <c r="I249" t="s">
        <v>4634</v>
      </c>
      <c r="J249" t="s">
        <v>4635</v>
      </c>
      <c r="K249" t="s">
        <v>16</v>
      </c>
      <c r="L249" t="s">
        <v>16</v>
      </c>
      <c r="M249" t="s">
        <v>22</v>
      </c>
      <c r="N249" t="s">
        <v>51</v>
      </c>
      <c r="O249" t="s">
        <v>16</v>
      </c>
      <c r="P249" t="s">
        <v>16</v>
      </c>
      <c r="Q249" t="s">
        <v>16</v>
      </c>
      <c r="R249" t="s">
        <v>16</v>
      </c>
      <c r="S249" t="s">
        <v>16</v>
      </c>
      <c r="T249" t="s">
        <v>4636</v>
      </c>
      <c r="U249" t="s">
        <v>4637</v>
      </c>
      <c r="V249" t="s">
        <v>4638</v>
      </c>
      <c r="W249" t="s">
        <v>4639</v>
      </c>
      <c r="X249" t="s">
        <v>4640</v>
      </c>
      <c r="Y249" t="s">
        <v>4641</v>
      </c>
      <c r="Z249" t="s">
        <v>4642</v>
      </c>
      <c r="AA249" t="s">
        <v>4643</v>
      </c>
      <c r="AB249" t="s">
        <v>4644</v>
      </c>
      <c r="AC249" t="s">
        <v>16</v>
      </c>
      <c r="AD249" t="s">
        <v>16</v>
      </c>
      <c r="AE249" t="s">
        <v>16</v>
      </c>
      <c r="AF249" t="s">
        <v>16</v>
      </c>
      <c r="AG249">
        <v>65</v>
      </c>
      <c r="AH249">
        <v>172</v>
      </c>
      <c r="AI249">
        <v>190</v>
      </c>
      <c r="AJ249">
        <v>3</v>
      </c>
      <c r="AK249">
        <v>135</v>
      </c>
      <c r="AL249" t="s">
        <v>638</v>
      </c>
      <c r="AM249" t="s">
        <v>1840</v>
      </c>
      <c r="AN249" t="s">
        <v>4645</v>
      </c>
      <c r="AO249" t="s">
        <v>4646</v>
      </c>
      <c r="AP249" t="s">
        <v>16</v>
      </c>
      <c r="AQ249" t="s">
        <v>16</v>
      </c>
      <c r="AR249" t="s">
        <v>4647</v>
      </c>
      <c r="AS249" t="s">
        <v>4648</v>
      </c>
      <c r="AT249" t="s">
        <v>16</v>
      </c>
      <c r="AU249">
        <v>2009</v>
      </c>
      <c r="AV249">
        <v>36</v>
      </c>
      <c r="AW249" t="s">
        <v>4649</v>
      </c>
      <c r="AX249" t="s">
        <v>16</v>
      </c>
      <c r="AY249" t="s">
        <v>16</v>
      </c>
      <c r="AZ249" t="s">
        <v>16</v>
      </c>
      <c r="BA249" t="s">
        <v>16</v>
      </c>
      <c r="BB249">
        <v>947</v>
      </c>
      <c r="BC249">
        <v>959</v>
      </c>
      <c r="BD249" t="s">
        <v>16</v>
      </c>
      <c r="BE249" t="s">
        <v>4650</v>
      </c>
      <c r="BF249" t="str">
        <f>HYPERLINK("http://dx.doi.org/10.1071/FP09184","http://dx.doi.org/10.1071/FP09184")</f>
        <v>http://dx.doi.org/10.1071/FP09184</v>
      </c>
      <c r="BG249" t="s">
        <v>16</v>
      </c>
      <c r="BH249" t="s">
        <v>16</v>
      </c>
      <c r="BI249">
        <v>13</v>
      </c>
      <c r="BJ249" t="s">
        <v>214</v>
      </c>
      <c r="BK249" t="s">
        <v>73</v>
      </c>
      <c r="BL249" t="s">
        <v>214</v>
      </c>
      <c r="BM249" t="s">
        <v>4651</v>
      </c>
      <c r="BN249">
        <v>32688706</v>
      </c>
      <c r="BO249" t="s">
        <v>16</v>
      </c>
      <c r="BP249" t="s">
        <v>16</v>
      </c>
      <c r="BQ249" t="s">
        <v>16</v>
      </c>
      <c r="BR249" t="s">
        <v>44</v>
      </c>
      <c r="BS249" t="s">
        <v>4652</v>
      </c>
      <c r="BT249" t="str">
        <f>HYPERLINK("https%3A%2F%2Fwww.webofscience.com%2Fwos%2Fwoscc%2Ffull-record%2FWOS:000271464600013","View Full Record in Web of Science")</f>
        <v>View Full Record in Web of Science</v>
      </c>
    </row>
    <row r="250" spans="1:72" x14ac:dyDescent="0.2">
      <c r="A250" t="s">
        <v>46</v>
      </c>
      <c r="B250" t="s">
        <v>4653</v>
      </c>
      <c r="C250" t="s">
        <v>16</v>
      </c>
      <c r="D250" t="s">
        <v>16</v>
      </c>
      <c r="E250" t="s">
        <v>16</v>
      </c>
      <c r="F250" t="s">
        <v>4654</v>
      </c>
      <c r="G250" t="s">
        <v>16</v>
      </c>
      <c r="H250" t="s">
        <v>16</v>
      </c>
      <c r="I250" t="s">
        <v>4655</v>
      </c>
      <c r="J250" t="s">
        <v>4656</v>
      </c>
      <c r="K250" t="s">
        <v>16</v>
      </c>
      <c r="L250" t="s">
        <v>16</v>
      </c>
      <c r="M250" t="s">
        <v>22</v>
      </c>
      <c r="N250" t="s">
        <v>118</v>
      </c>
      <c r="O250" t="s">
        <v>16</v>
      </c>
      <c r="P250" t="s">
        <v>16</v>
      </c>
      <c r="Q250" t="s">
        <v>16</v>
      </c>
      <c r="R250" t="s">
        <v>16</v>
      </c>
      <c r="S250" t="s">
        <v>16</v>
      </c>
      <c r="T250" t="s">
        <v>4657</v>
      </c>
      <c r="U250" t="s">
        <v>4658</v>
      </c>
      <c r="V250" t="s">
        <v>4659</v>
      </c>
      <c r="W250" t="s">
        <v>4660</v>
      </c>
      <c r="X250" t="s">
        <v>4661</v>
      </c>
      <c r="Y250" t="s">
        <v>4662</v>
      </c>
      <c r="Z250" t="s">
        <v>4663</v>
      </c>
      <c r="AA250" t="s">
        <v>16</v>
      </c>
      <c r="AB250" t="s">
        <v>16</v>
      </c>
      <c r="AC250" t="s">
        <v>4664</v>
      </c>
      <c r="AD250" t="s">
        <v>4665</v>
      </c>
      <c r="AE250" t="s">
        <v>4666</v>
      </c>
      <c r="AF250" t="s">
        <v>16</v>
      </c>
      <c r="AG250">
        <v>132</v>
      </c>
      <c r="AH250">
        <v>11</v>
      </c>
      <c r="AI250">
        <v>11</v>
      </c>
      <c r="AJ250">
        <v>5</v>
      </c>
      <c r="AK250">
        <v>24</v>
      </c>
      <c r="AL250" t="s">
        <v>128</v>
      </c>
      <c r="AM250" t="s">
        <v>129</v>
      </c>
      <c r="AN250" t="s">
        <v>130</v>
      </c>
      <c r="AO250" t="s">
        <v>4667</v>
      </c>
      <c r="AP250" t="s">
        <v>4668</v>
      </c>
      <c r="AQ250" t="s">
        <v>16</v>
      </c>
      <c r="AR250" t="s">
        <v>4656</v>
      </c>
      <c r="AS250" t="s">
        <v>4669</v>
      </c>
      <c r="AT250" t="s">
        <v>318</v>
      </c>
      <c r="AU250">
        <v>2023</v>
      </c>
      <c r="AV250">
        <v>16</v>
      </c>
      <c r="AW250">
        <v>1</v>
      </c>
      <c r="AX250" t="s">
        <v>16</v>
      </c>
      <c r="AY250" t="s">
        <v>16</v>
      </c>
      <c r="AZ250" t="s">
        <v>16</v>
      </c>
      <c r="BA250" t="s">
        <v>16</v>
      </c>
      <c r="BB250" t="s">
        <v>16</v>
      </c>
      <c r="BC250" t="s">
        <v>16</v>
      </c>
      <c r="BD250">
        <v>61</v>
      </c>
      <c r="BE250" t="s">
        <v>4670</v>
      </c>
      <c r="BF250" t="str">
        <f>HYPERLINK("http://dx.doi.org/10.1186/s12284-023-00677-6","http://dx.doi.org/10.1186/s12284-023-00677-6")</f>
        <v>http://dx.doi.org/10.1186/s12284-023-00677-6</v>
      </c>
      <c r="BG250" t="s">
        <v>16</v>
      </c>
      <c r="BH250" t="s">
        <v>16</v>
      </c>
      <c r="BI250">
        <v>22</v>
      </c>
      <c r="BJ250" t="s">
        <v>40</v>
      </c>
      <c r="BK250" t="s">
        <v>73</v>
      </c>
      <c r="BL250" t="s">
        <v>42</v>
      </c>
      <c r="BM250" t="s">
        <v>4671</v>
      </c>
      <c r="BN250">
        <v>38099942</v>
      </c>
      <c r="BO250" t="s">
        <v>216</v>
      </c>
      <c r="BP250" t="s">
        <v>16</v>
      </c>
      <c r="BQ250" t="s">
        <v>16</v>
      </c>
      <c r="BR250" t="s">
        <v>44</v>
      </c>
      <c r="BS250" t="s">
        <v>4672</v>
      </c>
      <c r="BT250" t="str">
        <f>HYPERLINK("https%3A%2F%2Fwww.webofscience.com%2Fwos%2Fwoscc%2Ffull-record%2FWOS:001124109100001","View Full Record in Web of Science")</f>
        <v>View Full Record in Web of Science</v>
      </c>
    </row>
    <row r="251" spans="1:72" x14ac:dyDescent="0.2">
      <c r="A251" t="s">
        <v>46</v>
      </c>
      <c r="B251" t="s">
        <v>4673</v>
      </c>
      <c r="C251" t="s">
        <v>16</v>
      </c>
      <c r="D251" t="s">
        <v>16</v>
      </c>
      <c r="E251" t="s">
        <v>16</v>
      </c>
      <c r="F251" t="s">
        <v>4674</v>
      </c>
      <c r="G251" t="s">
        <v>16</v>
      </c>
      <c r="H251" t="s">
        <v>16</v>
      </c>
      <c r="I251" t="s">
        <v>4675</v>
      </c>
      <c r="J251" t="s">
        <v>3053</v>
      </c>
      <c r="K251" t="s">
        <v>16</v>
      </c>
      <c r="L251" t="s">
        <v>16</v>
      </c>
      <c r="M251" t="s">
        <v>22</v>
      </c>
      <c r="N251" t="s">
        <v>51</v>
      </c>
      <c r="O251" t="s">
        <v>16</v>
      </c>
      <c r="P251" t="s">
        <v>16</v>
      </c>
      <c r="Q251" t="s">
        <v>16</v>
      </c>
      <c r="R251" t="s">
        <v>16</v>
      </c>
      <c r="S251" t="s">
        <v>16</v>
      </c>
      <c r="T251" t="s">
        <v>16</v>
      </c>
      <c r="U251" t="s">
        <v>4676</v>
      </c>
      <c r="V251" t="s">
        <v>4677</v>
      </c>
      <c r="W251" t="s">
        <v>4678</v>
      </c>
      <c r="X251" t="s">
        <v>4679</v>
      </c>
      <c r="Y251" t="s">
        <v>4680</v>
      </c>
      <c r="Z251" t="s">
        <v>2125</v>
      </c>
      <c r="AA251" t="s">
        <v>2126</v>
      </c>
      <c r="AB251" t="s">
        <v>4681</v>
      </c>
      <c r="AC251" t="s">
        <v>4682</v>
      </c>
      <c r="AD251" t="s">
        <v>4683</v>
      </c>
      <c r="AE251" t="s">
        <v>4684</v>
      </c>
      <c r="AF251" t="s">
        <v>16</v>
      </c>
      <c r="AG251">
        <v>40</v>
      </c>
      <c r="AH251">
        <v>121</v>
      </c>
      <c r="AI251">
        <v>134</v>
      </c>
      <c r="AJ251">
        <v>0</v>
      </c>
      <c r="AK251">
        <v>39</v>
      </c>
      <c r="AL251" t="s">
        <v>503</v>
      </c>
      <c r="AM251" t="s">
        <v>376</v>
      </c>
      <c r="AN251" t="s">
        <v>504</v>
      </c>
      <c r="AO251" t="s">
        <v>3065</v>
      </c>
      <c r="AP251" t="s">
        <v>3066</v>
      </c>
      <c r="AQ251" t="s">
        <v>16</v>
      </c>
      <c r="AR251" t="s">
        <v>3067</v>
      </c>
      <c r="AS251" t="s">
        <v>3068</v>
      </c>
      <c r="AT251" t="s">
        <v>4685</v>
      </c>
      <c r="AU251">
        <v>2015</v>
      </c>
      <c r="AV251">
        <v>47</v>
      </c>
      <c r="AW251" t="s">
        <v>16</v>
      </c>
      <c r="AX251" t="s">
        <v>16</v>
      </c>
      <c r="AY251" t="s">
        <v>16</v>
      </c>
      <c r="AZ251" t="s">
        <v>16</v>
      </c>
      <c r="BA251" t="s">
        <v>16</v>
      </c>
      <c r="BB251" t="s">
        <v>16</v>
      </c>
      <c r="BC251" t="s">
        <v>16</v>
      </c>
      <c r="BD251">
        <v>43</v>
      </c>
      <c r="BE251" t="s">
        <v>4686</v>
      </c>
      <c r="BF251" t="str">
        <f>HYPERLINK("http://dx.doi.org/10.1186/s12711-015-0117-5","http://dx.doi.org/10.1186/s12711-015-0117-5")</f>
        <v>http://dx.doi.org/10.1186/s12711-015-0117-5</v>
      </c>
      <c r="BG251" t="s">
        <v>16</v>
      </c>
      <c r="BH251" t="s">
        <v>16</v>
      </c>
      <c r="BI251">
        <v>14</v>
      </c>
      <c r="BJ251" t="s">
        <v>296</v>
      </c>
      <c r="BK251" t="s">
        <v>73</v>
      </c>
      <c r="BL251" t="s">
        <v>3071</v>
      </c>
      <c r="BM251" t="s">
        <v>4687</v>
      </c>
      <c r="BN251">
        <v>25956961</v>
      </c>
      <c r="BO251" t="s">
        <v>216</v>
      </c>
      <c r="BP251" t="s">
        <v>16</v>
      </c>
      <c r="BQ251" t="s">
        <v>16</v>
      </c>
      <c r="BR251" t="s">
        <v>44</v>
      </c>
      <c r="BS251" t="s">
        <v>4688</v>
      </c>
      <c r="BT251" t="str">
        <f>HYPERLINK("https%3A%2F%2Fwww.webofscience.com%2Fwos%2Fwoscc%2Ffull-record%2FWOS:000354083100001","View Full Record in Web of Science")</f>
        <v>View Full Record in Web of Science</v>
      </c>
    </row>
    <row r="252" spans="1:72" x14ac:dyDescent="0.2">
      <c r="A252" t="s">
        <v>46</v>
      </c>
      <c r="B252" t="s">
        <v>4689</v>
      </c>
      <c r="C252" t="s">
        <v>16</v>
      </c>
      <c r="D252" t="s">
        <v>16</v>
      </c>
      <c r="E252" t="s">
        <v>16</v>
      </c>
      <c r="F252" t="s">
        <v>4690</v>
      </c>
      <c r="G252" t="s">
        <v>16</v>
      </c>
      <c r="H252" t="s">
        <v>16</v>
      </c>
      <c r="I252" t="s">
        <v>4691</v>
      </c>
      <c r="J252" t="s">
        <v>1541</v>
      </c>
      <c r="K252" t="s">
        <v>16</v>
      </c>
      <c r="L252" t="s">
        <v>16</v>
      </c>
      <c r="M252" t="s">
        <v>22</v>
      </c>
      <c r="N252" t="s">
        <v>51</v>
      </c>
      <c r="O252" t="s">
        <v>16</v>
      </c>
      <c r="P252" t="s">
        <v>16</v>
      </c>
      <c r="Q252" t="s">
        <v>16</v>
      </c>
      <c r="R252" t="s">
        <v>16</v>
      </c>
      <c r="S252" t="s">
        <v>16</v>
      </c>
      <c r="T252" t="s">
        <v>16</v>
      </c>
      <c r="U252" t="s">
        <v>4692</v>
      </c>
      <c r="V252" t="s">
        <v>4693</v>
      </c>
      <c r="W252" t="s">
        <v>4694</v>
      </c>
      <c r="X252" t="s">
        <v>4695</v>
      </c>
      <c r="Y252" t="s">
        <v>4696</v>
      </c>
      <c r="Z252" t="s">
        <v>4697</v>
      </c>
      <c r="AA252" t="s">
        <v>4698</v>
      </c>
      <c r="AB252" t="s">
        <v>4699</v>
      </c>
      <c r="AC252" t="s">
        <v>4700</v>
      </c>
      <c r="AD252" t="s">
        <v>4701</v>
      </c>
      <c r="AE252" t="s">
        <v>4702</v>
      </c>
      <c r="AF252" t="s">
        <v>16</v>
      </c>
      <c r="AG252">
        <v>39</v>
      </c>
      <c r="AH252">
        <v>6</v>
      </c>
      <c r="AI252">
        <v>7</v>
      </c>
      <c r="AJ252">
        <v>0</v>
      </c>
      <c r="AK252">
        <v>12</v>
      </c>
      <c r="AL252" t="s">
        <v>1553</v>
      </c>
      <c r="AM252" t="s">
        <v>1554</v>
      </c>
      <c r="AN252" t="s">
        <v>1555</v>
      </c>
      <c r="AO252" t="s">
        <v>1556</v>
      </c>
      <c r="AP252" t="s">
        <v>16</v>
      </c>
      <c r="AQ252" t="s">
        <v>16</v>
      </c>
      <c r="AR252" t="s">
        <v>1541</v>
      </c>
      <c r="AS252" t="s">
        <v>1557</v>
      </c>
      <c r="AT252" t="s">
        <v>4703</v>
      </c>
      <c r="AU252">
        <v>2016</v>
      </c>
      <c r="AV252">
        <v>11</v>
      </c>
      <c r="AW252">
        <v>2</v>
      </c>
      <c r="AX252" t="s">
        <v>16</v>
      </c>
      <c r="AY252" t="s">
        <v>16</v>
      </c>
      <c r="AZ252" t="s">
        <v>16</v>
      </c>
      <c r="BA252" t="s">
        <v>16</v>
      </c>
      <c r="BB252" t="s">
        <v>16</v>
      </c>
      <c r="BC252" t="s">
        <v>16</v>
      </c>
      <c r="BD252" t="s">
        <v>4704</v>
      </c>
      <c r="BE252" t="s">
        <v>4705</v>
      </c>
      <c r="BF252" t="str">
        <f>HYPERLINK("http://dx.doi.org/10.1371/journal.pone.0148609","http://dx.doi.org/10.1371/journal.pone.0148609")</f>
        <v>http://dx.doi.org/10.1371/journal.pone.0148609</v>
      </c>
      <c r="BG252" t="s">
        <v>16</v>
      </c>
      <c r="BH252" t="s">
        <v>16</v>
      </c>
      <c r="BI252">
        <v>17</v>
      </c>
      <c r="BJ252" t="s">
        <v>296</v>
      </c>
      <c r="BK252" t="s">
        <v>73</v>
      </c>
      <c r="BL252" t="s">
        <v>297</v>
      </c>
      <c r="BM252" t="s">
        <v>4706</v>
      </c>
      <c r="BN252">
        <v>26859143</v>
      </c>
      <c r="BO252" t="s">
        <v>2954</v>
      </c>
      <c r="BP252" t="s">
        <v>16</v>
      </c>
      <c r="BQ252" t="s">
        <v>16</v>
      </c>
      <c r="BR252" t="s">
        <v>44</v>
      </c>
      <c r="BS252" t="s">
        <v>4707</v>
      </c>
      <c r="BT252" t="str">
        <f>HYPERLINK("https%3A%2F%2Fwww.webofscience.com%2Fwos%2Fwoscc%2Ffull-record%2FWOS:000370038400056","View Full Record in Web of Science")</f>
        <v>View Full Record in Web of Science</v>
      </c>
    </row>
    <row r="253" spans="1:72" x14ac:dyDescent="0.2">
      <c r="A253" t="s">
        <v>46</v>
      </c>
      <c r="B253" t="s">
        <v>4708</v>
      </c>
      <c r="C253" t="s">
        <v>16</v>
      </c>
      <c r="D253" t="s">
        <v>16</v>
      </c>
      <c r="E253" t="s">
        <v>16</v>
      </c>
      <c r="F253" t="s">
        <v>4709</v>
      </c>
      <c r="G253" t="s">
        <v>16</v>
      </c>
      <c r="H253" t="s">
        <v>16</v>
      </c>
      <c r="I253" t="s">
        <v>4710</v>
      </c>
      <c r="J253" t="s">
        <v>197</v>
      </c>
      <c r="K253" t="s">
        <v>16</v>
      </c>
      <c r="L253" t="s">
        <v>16</v>
      </c>
      <c r="M253" t="s">
        <v>22</v>
      </c>
      <c r="N253" t="s">
        <v>118</v>
      </c>
      <c r="O253" t="s">
        <v>16</v>
      </c>
      <c r="P253" t="s">
        <v>16</v>
      </c>
      <c r="Q253" t="s">
        <v>16</v>
      </c>
      <c r="R253" t="s">
        <v>16</v>
      </c>
      <c r="S253" t="s">
        <v>16</v>
      </c>
      <c r="T253" t="s">
        <v>4711</v>
      </c>
      <c r="U253" t="s">
        <v>4712</v>
      </c>
      <c r="V253" t="s">
        <v>4713</v>
      </c>
      <c r="W253" t="s">
        <v>4714</v>
      </c>
      <c r="X253" t="s">
        <v>1322</v>
      </c>
      <c r="Y253" t="s">
        <v>4715</v>
      </c>
      <c r="Z253" t="s">
        <v>4716</v>
      </c>
      <c r="AA253" t="s">
        <v>4717</v>
      </c>
      <c r="AB253" t="s">
        <v>4718</v>
      </c>
      <c r="AC253" t="s">
        <v>4719</v>
      </c>
      <c r="AD253" t="s">
        <v>4720</v>
      </c>
      <c r="AE253" t="s">
        <v>4721</v>
      </c>
      <c r="AF253" t="s">
        <v>16</v>
      </c>
      <c r="AG253">
        <v>169</v>
      </c>
      <c r="AH253">
        <v>104</v>
      </c>
      <c r="AI253">
        <v>117</v>
      </c>
      <c r="AJ253">
        <v>12</v>
      </c>
      <c r="AK253">
        <v>145</v>
      </c>
      <c r="AL253" t="s">
        <v>206</v>
      </c>
      <c r="AM253" t="s">
        <v>207</v>
      </c>
      <c r="AN253" t="s">
        <v>208</v>
      </c>
      <c r="AO253" t="s">
        <v>209</v>
      </c>
      <c r="AP253" t="s">
        <v>16</v>
      </c>
      <c r="AQ253" t="s">
        <v>16</v>
      </c>
      <c r="AR253" t="s">
        <v>210</v>
      </c>
      <c r="AS253" t="s">
        <v>211</v>
      </c>
      <c r="AT253" t="s">
        <v>4722</v>
      </c>
      <c r="AU253">
        <v>2018</v>
      </c>
      <c r="AV253">
        <v>9</v>
      </c>
      <c r="AW253" t="s">
        <v>16</v>
      </c>
      <c r="AX253" t="s">
        <v>16</v>
      </c>
      <c r="AY253" t="s">
        <v>16</v>
      </c>
      <c r="AZ253" t="s">
        <v>16</v>
      </c>
      <c r="BA253" t="s">
        <v>16</v>
      </c>
      <c r="BB253" t="s">
        <v>16</v>
      </c>
      <c r="BC253" t="s">
        <v>16</v>
      </c>
      <c r="BD253">
        <v>513</v>
      </c>
      <c r="BE253" t="s">
        <v>4723</v>
      </c>
      <c r="BF253" t="str">
        <f>HYPERLINK("http://dx.doi.org/10.3389/fpls.2018.00513","http://dx.doi.org/10.3389/fpls.2018.00513")</f>
        <v>http://dx.doi.org/10.3389/fpls.2018.00513</v>
      </c>
      <c r="BG253" t="s">
        <v>16</v>
      </c>
      <c r="BH253" t="s">
        <v>16</v>
      </c>
      <c r="BI253">
        <v>17</v>
      </c>
      <c r="BJ253" t="s">
        <v>214</v>
      </c>
      <c r="BK253" t="s">
        <v>73</v>
      </c>
      <c r="BL253" t="s">
        <v>214</v>
      </c>
      <c r="BM253" t="s">
        <v>4724</v>
      </c>
      <c r="BN253">
        <v>29720992</v>
      </c>
      <c r="BO253" t="s">
        <v>511</v>
      </c>
      <c r="BP253" t="s">
        <v>16</v>
      </c>
      <c r="BQ253" t="s">
        <v>16</v>
      </c>
      <c r="BR253" t="s">
        <v>44</v>
      </c>
      <c r="BS253" t="s">
        <v>4725</v>
      </c>
      <c r="BT253" t="str">
        <f>HYPERLINK("https%3A%2F%2Fwww.webofscience.com%2Fwos%2Fwoscc%2Ffull-record%2FWOS:000430315700001","View Full Record in Web of Science")</f>
        <v>View Full Record in Web of Science</v>
      </c>
    </row>
    <row r="254" spans="1:72" x14ac:dyDescent="0.2">
      <c r="A254" t="s">
        <v>46</v>
      </c>
      <c r="B254" t="s">
        <v>4726</v>
      </c>
      <c r="C254" t="s">
        <v>16</v>
      </c>
      <c r="D254" t="s">
        <v>16</v>
      </c>
      <c r="E254" t="s">
        <v>16</v>
      </c>
      <c r="F254" t="s">
        <v>4726</v>
      </c>
      <c r="G254" t="s">
        <v>16</v>
      </c>
      <c r="H254" t="s">
        <v>16</v>
      </c>
      <c r="I254" t="s">
        <v>4727</v>
      </c>
      <c r="J254" t="s">
        <v>630</v>
      </c>
      <c r="K254" t="s">
        <v>16</v>
      </c>
      <c r="L254" t="s">
        <v>16</v>
      </c>
      <c r="M254" t="s">
        <v>22</v>
      </c>
      <c r="N254" t="s">
        <v>51</v>
      </c>
      <c r="O254" t="s">
        <v>16</v>
      </c>
      <c r="P254" t="s">
        <v>16</v>
      </c>
      <c r="Q254" t="s">
        <v>16</v>
      </c>
      <c r="R254" t="s">
        <v>16</v>
      </c>
      <c r="S254" t="s">
        <v>16</v>
      </c>
      <c r="T254" t="s">
        <v>4728</v>
      </c>
      <c r="U254" t="s">
        <v>4729</v>
      </c>
      <c r="V254" t="s">
        <v>4730</v>
      </c>
      <c r="W254" t="s">
        <v>4731</v>
      </c>
      <c r="X254" t="s">
        <v>4732</v>
      </c>
      <c r="Y254" t="s">
        <v>4733</v>
      </c>
      <c r="Z254" t="s">
        <v>714</v>
      </c>
      <c r="AA254" t="s">
        <v>4734</v>
      </c>
      <c r="AB254" t="s">
        <v>4735</v>
      </c>
      <c r="AC254" t="s">
        <v>16</v>
      </c>
      <c r="AD254" t="s">
        <v>16</v>
      </c>
      <c r="AE254" t="s">
        <v>16</v>
      </c>
      <c r="AF254" t="s">
        <v>16</v>
      </c>
      <c r="AG254">
        <v>76</v>
      </c>
      <c r="AH254">
        <v>124</v>
      </c>
      <c r="AI254">
        <v>136</v>
      </c>
      <c r="AJ254">
        <v>0</v>
      </c>
      <c r="AK254">
        <v>55</v>
      </c>
      <c r="AL254" t="s">
        <v>638</v>
      </c>
      <c r="AM254" t="s">
        <v>639</v>
      </c>
      <c r="AN254" t="s">
        <v>640</v>
      </c>
      <c r="AO254" t="s">
        <v>641</v>
      </c>
      <c r="AP254" t="s">
        <v>642</v>
      </c>
      <c r="AQ254" t="s">
        <v>16</v>
      </c>
      <c r="AR254" t="s">
        <v>643</v>
      </c>
      <c r="AS254" t="s">
        <v>644</v>
      </c>
      <c r="AT254" t="s">
        <v>16</v>
      </c>
      <c r="AU254">
        <v>2005</v>
      </c>
      <c r="AV254">
        <v>56</v>
      </c>
      <c r="AW254">
        <v>9</v>
      </c>
      <c r="AX254" t="s">
        <v>16</v>
      </c>
      <c r="AY254" t="s">
        <v>16</v>
      </c>
      <c r="AZ254" t="s">
        <v>16</v>
      </c>
      <c r="BA254" t="s">
        <v>16</v>
      </c>
      <c r="BB254">
        <v>947</v>
      </c>
      <c r="BC254">
        <v>960</v>
      </c>
      <c r="BD254" t="s">
        <v>16</v>
      </c>
      <c r="BE254" t="s">
        <v>4736</v>
      </c>
      <c r="BF254" t="str">
        <f>HYPERLINK("http://dx.doi.org/10.1071/AR05157","http://dx.doi.org/10.1071/AR05157")</f>
        <v>http://dx.doi.org/10.1071/AR05157</v>
      </c>
      <c r="BG254" t="s">
        <v>16</v>
      </c>
      <c r="BH254" t="s">
        <v>16</v>
      </c>
      <c r="BI254">
        <v>14</v>
      </c>
      <c r="BJ254" t="s">
        <v>296</v>
      </c>
      <c r="BK254" t="s">
        <v>73</v>
      </c>
      <c r="BL254" t="s">
        <v>42</v>
      </c>
      <c r="BM254" t="s">
        <v>4737</v>
      </c>
      <c r="BN254" t="s">
        <v>16</v>
      </c>
      <c r="BO254" t="s">
        <v>2307</v>
      </c>
      <c r="BP254" t="s">
        <v>16</v>
      </c>
      <c r="BQ254" t="s">
        <v>16</v>
      </c>
      <c r="BR254" t="s">
        <v>44</v>
      </c>
      <c r="BS254" t="s">
        <v>4738</v>
      </c>
      <c r="BT254" t="str">
        <f>HYPERLINK("https%3A%2F%2Fwww.webofscience.com%2Fwos%2Fwoscc%2Ffull-record%2FWOS:000232165700007","View Full Record in Web of Science")</f>
        <v>View Full Record in Web of Science</v>
      </c>
    </row>
    <row r="255" spans="1:72" x14ac:dyDescent="0.2">
      <c r="A255" t="s">
        <v>46</v>
      </c>
      <c r="B255" t="s">
        <v>4739</v>
      </c>
      <c r="C255" t="s">
        <v>16</v>
      </c>
      <c r="D255" t="s">
        <v>16</v>
      </c>
      <c r="E255" t="s">
        <v>16</v>
      </c>
      <c r="F255" t="s">
        <v>4740</v>
      </c>
      <c r="G255" t="s">
        <v>16</v>
      </c>
      <c r="H255" t="s">
        <v>16</v>
      </c>
      <c r="I255" t="s">
        <v>4741</v>
      </c>
      <c r="J255" t="s">
        <v>4742</v>
      </c>
      <c r="K255" t="s">
        <v>16</v>
      </c>
      <c r="L255" t="s">
        <v>16</v>
      </c>
      <c r="M255" t="s">
        <v>22</v>
      </c>
      <c r="N255" t="s">
        <v>51</v>
      </c>
      <c r="O255" t="s">
        <v>16</v>
      </c>
      <c r="P255" t="s">
        <v>16</v>
      </c>
      <c r="Q255" t="s">
        <v>16</v>
      </c>
      <c r="R255" t="s">
        <v>16</v>
      </c>
      <c r="S255" t="s">
        <v>16</v>
      </c>
      <c r="T255" t="s">
        <v>4743</v>
      </c>
      <c r="U255" t="s">
        <v>4744</v>
      </c>
      <c r="V255" t="s">
        <v>4745</v>
      </c>
      <c r="W255" t="s">
        <v>4746</v>
      </c>
      <c r="X255" t="s">
        <v>4747</v>
      </c>
      <c r="Y255" t="s">
        <v>4748</v>
      </c>
      <c r="Z255" t="s">
        <v>4749</v>
      </c>
      <c r="AA255" t="s">
        <v>4750</v>
      </c>
      <c r="AB255" t="s">
        <v>16</v>
      </c>
      <c r="AC255" t="s">
        <v>16</v>
      </c>
      <c r="AD255" t="s">
        <v>16</v>
      </c>
      <c r="AE255" t="s">
        <v>16</v>
      </c>
      <c r="AF255" t="s">
        <v>16</v>
      </c>
      <c r="AG255">
        <v>50</v>
      </c>
      <c r="AH255">
        <v>5</v>
      </c>
      <c r="AI255">
        <v>5</v>
      </c>
      <c r="AJ255">
        <v>0</v>
      </c>
      <c r="AK255">
        <v>4</v>
      </c>
      <c r="AL255" t="s">
        <v>1157</v>
      </c>
      <c r="AM255" t="s">
        <v>1158</v>
      </c>
      <c r="AN255" t="s">
        <v>1159</v>
      </c>
      <c r="AO255" t="s">
        <v>4751</v>
      </c>
      <c r="AP255" t="s">
        <v>4752</v>
      </c>
      <c r="AQ255" t="s">
        <v>16</v>
      </c>
      <c r="AR255" t="s">
        <v>4753</v>
      </c>
      <c r="AS255" t="s">
        <v>4754</v>
      </c>
      <c r="AT255" t="s">
        <v>1533</v>
      </c>
      <c r="AU255">
        <v>2024</v>
      </c>
      <c r="AV255">
        <v>10</v>
      </c>
      <c r="AW255">
        <v>1</v>
      </c>
      <c r="AX255" t="s">
        <v>16</v>
      </c>
      <c r="AY255" t="s">
        <v>16</v>
      </c>
      <c r="AZ255" t="s">
        <v>16</v>
      </c>
      <c r="BA255" t="s">
        <v>16</v>
      </c>
      <c r="BB255">
        <v>509</v>
      </c>
      <c r="BC255">
        <v>523</v>
      </c>
      <c r="BD255" t="s">
        <v>16</v>
      </c>
      <c r="BE255" t="s">
        <v>4755</v>
      </c>
      <c r="BF255" t="str">
        <f>HYPERLINK("http://dx.doi.org/10.1007/s40747-023-01182-5","http://dx.doi.org/10.1007/s40747-023-01182-5")</f>
        <v>http://dx.doi.org/10.1007/s40747-023-01182-5</v>
      </c>
      <c r="BG255" t="s">
        <v>16</v>
      </c>
      <c r="BH255" t="s">
        <v>4756</v>
      </c>
      <c r="BI255">
        <v>15</v>
      </c>
      <c r="BJ255" t="s">
        <v>443</v>
      </c>
      <c r="BK255" t="s">
        <v>73</v>
      </c>
      <c r="BL255" t="s">
        <v>445</v>
      </c>
      <c r="BM255" t="s">
        <v>4757</v>
      </c>
      <c r="BN255" t="s">
        <v>16</v>
      </c>
      <c r="BO255" t="s">
        <v>552</v>
      </c>
      <c r="BP255" t="s">
        <v>16</v>
      </c>
      <c r="BQ255" t="s">
        <v>16</v>
      </c>
      <c r="BR255" t="s">
        <v>44</v>
      </c>
      <c r="BS255" t="s">
        <v>4758</v>
      </c>
      <c r="BT255" t="str">
        <f>HYPERLINK("https%3A%2F%2Fwww.webofscience.com%2Fwos%2Fwoscc%2Ffull-record%2FWOS:001035544000001","View Full Record in Web of Science")</f>
        <v>View Full Record in Web of Science</v>
      </c>
    </row>
    <row r="256" spans="1:72" x14ac:dyDescent="0.2">
      <c r="A256" t="s">
        <v>46</v>
      </c>
      <c r="B256" t="s">
        <v>4759</v>
      </c>
      <c r="C256" t="s">
        <v>16</v>
      </c>
      <c r="D256" t="s">
        <v>16</v>
      </c>
      <c r="E256" t="s">
        <v>16</v>
      </c>
      <c r="F256" t="s">
        <v>4760</v>
      </c>
      <c r="G256" t="s">
        <v>16</v>
      </c>
      <c r="H256" t="s">
        <v>16</v>
      </c>
      <c r="I256" t="s">
        <v>4761</v>
      </c>
      <c r="J256" t="s">
        <v>117</v>
      </c>
      <c r="K256" t="s">
        <v>16</v>
      </c>
      <c r="L256" t="s">
        <v>16</v>
      </c>
      <c r="M256" t="s">
        <v>22</v>
      </c>
      <c r="N256" t="s">
        <v>51</v>
      </c>
      <c r="O256" t="s">
        <v>16</v>
      </c>
      <c r="P256" t="s">
        <v>16</v>
      </c>
      <c r="Q256" t="s">
        <v>16</v>
      </c>
      <c r="R256" t="s">
        <v>16</v>
      </c>
      <c r="S256" t="s">
        <v>16</v>
      </c>
      <c r="T256" t="s">
        <v>16</v>
      </c>
      <c r="U256" t="s">
        <v>4762</v>
      </c>
      <c r="V256" t="s">
        <v>4763</v>
      </c>
      <c r="W256" t="s">
        <v>4764</v>
      </c>
      <c r="X256" t="s">
        <v>4765</v>
      </c>
      <c r="Y256" t="s">
        <v>4766</v>
      </c>
      <c r="Z256" t="s">
        <v>331</v>
      </c>
      <c r="AA256" t="s">
        <v>16</v>
      </c>
      <c r="AB256" t="s">
        <v>106</v>
      </c>
      <c r="AC256" t="s">
        <v>4767</v>
      </c>
      <c r="AD256" t="s">
        <v>4768</v>
      </c>
      <c r="AE256" t="s">
        <v>4769</v>
      </c>
      <c r="AF256" t="s">
        <v>16</v>
      </c>
      <c r="AG256">
        <v>66</v>
      </c>
      <c r="AH256">
        <v>41</v>
      </c>
      <c r="AI256">
        <v>49</v>
      </c>
      <c r="AJ256">
        <v>2</v>
      </c>
      <c r="AK256">
        <v>39</v>
      </c>
      <c r="AL256" t="s">
        <v>128</v>
      </c>
      <c r="AM256" t="s">
        <v>129</v>
      </c>
      <c r="AN256" t="s">
        <v>130</v>
      </c>
      <c r="AO256" t="s">
        <v>131</v>
      </c>
      <c r="AP256" t="s">
        <v>132</v>
      </c>
      <c r="AQ256" t="s">
        <v>16</v>
      </c>
      <c r="AR256" t="s">
        <v>133</v>
      </c>
      <c r="AS256" t="s">
        <v>134</v>
      </c>
      <c r="AT256" t="s">
        <v>464</v>
      </c>
      <c r="AU256">
        <v>2014</v>
      </c>
      <c r="AV256">
        <v>127</v>
      </c>
      <c r="AW256">
        <v>5</v>
      </c>
      <c r="AX256" t="s">
        <v>16</v>
      </c>
      <c r="AY256" t="s">
        <v>16</v>
      </c>
      <c r="AZ256" t="s">
        <v>16</v>
      </c>
      <c r="BA256" t="s">
        <v>16</v>
      </c>
      <c r="BB256">
        <v>1049</v>
      </c>
      <c r="BC256">
        <v>1060</v>
      </c>
      <c r="BD256" t="s">
        <v>16</v>
      </c>
      <c r="BE256" t="s">
        <v>4770</v>
      </c>
      <c r="BF256" t="str">
        <f>HYPERLINK("http://dx.doi.org/10.1007/s00122-014-2278-y","http://dx.doi.org/10.1007/s00122-014-2278-y")</f>
        <v>http://dx.doi.org/10.1007/s00122-014-2278-y</v>
      </c>
      <c r="BG256" t="s">
        <v>16</v>
      </c>
      <c r="BH256" t="s">
        <v>16</v>
      </c>
      <c r="BI256">
        <v>12</v>
      </c>
      <c r="BJ256" t="s">
        <v>296</v>
      </c>
      <c r="BK256" t="s">
        <v>73</v>
      </c>
      <c r="BL256" t="s">
        <v>137</v>
      </c>
      <c r="BM256" t="s">
        <v>4771</v>
      </c>
      <c r="BN256">
        <v>24553963</v>
      </c>
      <c r="BO256" t="s">
        <v>16</v>
      </c>
      <c r="BP256" t="s">
        <v>16</v>
      </c>
      <c r="BQ256" t="s">
        <v>16</v>
      </c>
      <c r="BR256" t="s">
        <v>44</v>
      </c>
      <c r="BS256" t="s">
        <v>4772</v>
      </c>
      <c r="BT256" t="str">
        <f>HYPERLINK("https%3A%2F%2Fwww.webofscience.com%2Fwos%2Fwoscc%2Ffull-record%2FWOS:000336754700004","View Full Record in Web of Science")</f>
        <v>View Full Record in Web of Science</v>
      </c>
    </row>
    <row r="257" spans="1:72" x14ac:dyDescent="0.2">
      <c r="A257" t="s">
        <v>46</v>
      </c>
      <c r="B257" t="s">
        <v>4773</v>
      </c>
      <c r="C257" t="s">
        <v>16</v>
      </c>
      <c r="D257" t="s">
        <v>16</v>
      </c>
      <c r="E257" t="s">
        <v>16</v>
      </c>
      <c r="F257" t="s">
        <v>4774</v>
      </c>
      <c r="G257" t="s">
        <v>16</v>
      </c>
      <c r="H257" t="s">
        <v>16</v>
      </c>
      <c r="I257" t="s">
        <v>4775</v>
      </c>
      <c r="J257" t="s">
        <v>4776</v>
      </c>
      <c r="K257" t="s">
        <v>16</v>
      </c>
      <c r="L257" t="s">
        <v>16</v>
      </c>
      <c r="M257" t="s">
        <v>22</v>
      </c>
      <c r="N257" t="s">
        <v>51</v>
      </c>
      <c r="O257" t="s">
        <v>16</v>
      </c>
      <c r="P257" t="s">
        <v>16</v>
      </c>
      <c r="Q257" t="s">
        <v>16</v>
      </c>
      <c r="R257" t="s">
        <v>16</v>
      </c>
      <c r="S257" t="s">
        <v>16</v>
      </c>
      <c r="T257" t="s">
        <v>4777</v>
      </c>
      <c r="U257" t="s">
        <v>4778</v>
      </c>
      <c r="V257" t="s">
        <v>4779</v>
      </c>
      <c r="W257" t="s">
        <v>4780</v>
      </c>
      <c r="X257" t="s">
        <v>4781</v>
      </c>
      <c r="Y257" t="s">
        <v>4782</v>
      </c>
      <c r="Z257" t="s">
        <v>4783</v>
      </c>
      <c r="AA257" t="s">
        <v>16</v>
      </c>
      <c r="AB257" t="s">
        <v>16</v>
      </c>
      <c r="AC257" t="s">
        <v>4784</v>
      </c>
      <c r="AD257" t="s">
        <v>4785</v>
      </c>
      <c r="AE257" t="s">
        <v>4786</v>
      </c>
      <c r="AF257" t="s">
        <v>16</v>
      </c>
      <c r="AG257">
        <v>58</v>
      </c>
      <c r="AH257">
        <v>0</v>
      </c>
      <c r="AI257">
        <v>0</v>
      </c>
      <c r="AJ257">
        <v>1</v>
      </c>
      <c r="AK257">
        <v>1</v>
      </c>
      <c r="AL257" t="s">
        <v>503</v>
      </c>
      <c r="AM257" t="s">
        <v>376</v>
      </c>
      <c r="AN257" t="s">
        <v>504</v>
      </c>
      <c r="AO257" t="s">
        <v>16</v>
      </c>
      <c r="AP257" t="s">
        <v>4787</v>
      </c>
      <c r="AQ257" t="s">
        <v>16</v>
      </c>
      <c r="AR257" t="s">
        <v>4776</v>
      </c>
      <c r="AS257" t="s">
        <v>4788</v>
      </c>
      <c r="AT257" t="s">
        <v>4789</v>
      </c>
      <c r="AU257">
        <v>2025</v>
      </c>
      <c r="AV257">
        <v>21</v>
      </c>
      <c r="AW257">
        <v>1</v>
      </c>
      <c r="AX257" t="s">
        <v>16</v>
      </c>
      <c r="AY257" t="s">
        <v>16</v>
      </c>
      <c r="AZ257" t="s">
        <v>16</v>
      </c>
      <c r="BA257" t="s">
        <v>16</v>
      </c>
      <c r="BB257" t="s">
        <v>16</v>
      </c>
      <c r="BC257" t="s">
        <v>16</v>
      </c>
      <c r="BD257">
        <v>9</v>
      </c>
      <c r="BE257" t="s">
        <v>4790</v>
      </c>
      <c r="BF257" t="str">
        <f>HYPERLINK("http://dx.doi.org/10.1186/s13007-024-01318-9","http://dx.doi.org/10.1186/s13007-024-01318-9")</f>
        <v>http://dx.doi.org/10.1186/s13007-024-01318-9</v>
      </c>
      <c r="BG257" t="s">
        <v>16</v>
      </c>
      <c r="BH257" t="s">
        <v>16</v>
      </c>
      <c r="BI257">
        <v>24</v>
      </c>
      <c r="BJ257" t="s">
        <v>296</v>
      </c>
      <c r="BK257" t="s">
        <v>73</v>
      </c>
      <c r="BL257" t="s">
        <v>4061</v>
      </c>
      <c r="BM257" t="s">
        <v>4791</v>
      </c>
      <c r="BN257">
        <v>39905443</v>
      </c>
      <c r="BO257" t="s">
        <v>552</v>
      </c>
      <c r="BP257" t="s">
        <v>16</v>
      </c>
      <c r="BQ257" t="s">
        <v>16</v>
      </c>
      <c r="BR257" t="s">
        <v>44</v>
      </c>
      <c r="BS257" t="s">
        <v>4792</v>
      </c>
      <c r="BT257" t="str">
        <f>HYPERLINK("https%3A%2F%2Fwww.webofscience.com%2Fwos%2Fwoscc%2Ffull-record%2FWOS:001413342900002","View Full Record in Web of Science")</f>
        <v>View Full Record in Web of Science</v>
      </c>
    </row>
    <row r="258" spans="1:72" x14ac:dyDescent="0.2">
      <c r="A258" t="s">
        <v>46</v>
      </c>
      <c r="B258" t="s">
        <v>4793</v>
      </c>
      <c r="C258" t="s">
        <v>16</v>
      </c>
      <c r="D258" t="s">
        <v>16</v>
      </c>
      <c r="E258" t="s">
        <v>16</v>
      </c>
      <c r="F258" t="s">
        <v>4794</v>
      </c>
      <c r="G258" t="s">
        <v>16</v>
      </c>
      <c r="H258" t="s">
        <v>16</v>
      </c>
      <c r="I258" t="s">
        <v>4795</v>
      </c>
      <c r="J258" t="s">
        <v>490</v>
      </c>
      <c r="K258" t="s">
        <v>16</v>
      </c>
      <c r="L258" t="s">
        <v>16</v>
      </c>
      <c r="M258" t="s">
        <v>22</v>
      </c>
      <c r="N258" t="s">
        <v>51</v>
      </c>
      <c r="O258" t="s">
        <v>16</v>
      </c>
      <c r="P258" t="s">
        <v>16</v>
      </c>
      <c r="Q258" t="s">
        <v>16</v>
      </c>
      <c r="R258" t="s">
        <v>16</v>
      </c>
      <c r="S258" t="s">
        <v>16</v>
      </c>
      <c r="T258" t="s">
        <v>4796</v>
      </c>
      <c r="U258" t="s">
        <v>4797</v>
      </c>
      <c r="V258" t="s">
        <v>4798</v>
      </c>
      <c r="W258" t="s">
        <v>4799</v>
      </c>
      <c r="X258" t="s">
        <v>4800</v>
      </c>
      <c r="Y258" t="s">
        <v>4801</v>
      </c>
      <c r="Z258" t="s">
        <v>4802</v>
      </c>
      <c r="AA258" t="s">
        <v>4803</v>
      </c>
      <c r="AB258" t="s">
        <v>4804</v>
      </c>
      <c r="AC258" t="s">
        <v>4805</v>
      </c>
      <c r="AD258" t="s">
        <v>4806</v>
      </c>
      <c r="AE258" t="s">
        <v>4807</v>
      </c>
      <c r="AF258" t="s">
        <v>16</v>
      </c>
      <c r="AG258">
        <v>43</v>
      </c>
      <c r="AH258">
        <v>17</v>
      </c>
      <c r="AI258">
        <v>23</v>
      </c>
      <c r="AJ258">
        <v>0</v>
      </c>
      <c r="AK258">
        <v>9</v>
      </c>
      <c r="AL258" t="s">
        <v>503</v>
      </c>
      <c r="AM258" t="s">
        <v>376</v>
      </c>
      <c r="AN258" t="s">
        <v>504</v>
      </c>
      <c r="AO258" t="s">
        <v>505</v>
      </c>
      <c r="AP258" t="s">
        <v>16</v>
      </c>
      <c r="AQ258" t="s">
        <v>16</v>
      </c>
      <c r="AR258" t="s">
        <v>490</v>
      </c>
      <c r="AS258" t="s">
        <v>506</v>
      </c>
      <c r="AT258" t="s">
        <v>4808</v>
      </c>
      <c r="AU258">
        <v>2016</v>
      </c>
      <c r="AV258">
        <v>17</v>
      </c>
      <c r="AW258" t="s">
        <v>16</v>
      </c>
      <c r="AX258" t="s">
        <v>16</v>
      </c>
      <c r="AY258" t="s">
        <v>16</v>
      </c>
      <c r="AZ258" t="s">
        <v>16</v>
      </c>
      <c r="BA258" t="s">
        <v>16</v>
      </c>
      <c r="BB258" t="s">
        <v>16</v>
      </c>
      <c r="BC258" t="s">
        <v>16</v>
      </c>
      <c r="BD258">
        <v>672</v>
      </c>
      <c r="BE258" t="s">
        <v>4809</v>
      </c>
      <c r="BF258" t="str">
        <f>HYPERLINK("http://dx.doi.org/10.1186/s12864-016-2926-5","http://dx.doi.org/10.1186/s12864-016-2926-5")</f>
        <v>http://dx.doi.org/10.1186/s12864-016-2926-5</v>
      </c>
      <c r="BG258" t="s">
        <v>16</v>
      </c>
      <c r="BH258" t="s">
        <v>16</v>
      </c>
      <c r="BI258">
        <v>9</v>
      </c>
      <c r="BJ258" t="s">
        <v>296</v>
      </c>
      <c r="BK258" t="s">
        <v>73</v>
      </c>
      <c r="BL258" t="s">
        <v>509</v>
      </c>
      <c r="BM258" t="s">
        <v>4810</v>
      </c>
      <c r="BN258">
        <v>27554097</v>
      </c>
      <c r="BO258" t="s">
        <v>511</v>
      </c>
      <c r="BP258" t="s">
        <v>16</v>
      </c>
      <c r="BQ258" t="s">
        <v>16</v>
      </c>
      <c r="BR258" t="s">
        <v>44</v>
      </c>
      <c r="BS258" t="s">
        <v>4811</v>
      </c>
      <c r="BT258" t="str">
        <f>HYPERLINK("https%3A%2F%2Fwww.webofscience.com%2Fwos%2Fwoscc%2Ffull-record%2FWOS:000384980000001","View Full Record in Web of Science")</f>
        <v>View Full Record in Web of Science</v>
      </c>
    </row>
    <row r="259" spans="1:72" x14ac:dyDescent="0.2">
      <c r="A259" t="s">
        <v>46</v>
      </c>
      <c r="B259" t="s">
        <v>4812</v>
      </c>
      <c r="C259" t="s">
        <v>16</v>
      </c>
      <c r="D259" t="s">
        <v>16</v>
      </c>
      <c r="E259" t="s">
        <v>16</v>
      </c>
      <c r="F259" t="s">
        <v>4812</v>
      </c>
      <c r="G259" t="s">
        <v>16</v>
      </c>
      <c r="H259" t="s">
        <v>16</v>
      </c>
      <c r="I259" t="s">
        <v>4813</v>
      </c>
      <c r="J259" t="s">
        <v>3539</v>
      </c>
      <c r="K259" t="s">
        <v>16</v>
      </c>
      <c r="L259" t="s">
        <v>16</v>
      </c>
      <c r="M259" t="s">
        <v>22</v>
      </c>
      <c r="N259" t="s">
        <v>51</v>
      </c>
      <c r="O259" t="s">
        <v>16</v>
      </c>
      <c r="P259" t="s">
        <v>16</v>
      </c>
      <c r="Q259" t="s">
        <v>16</v>
      </c>
      <c r="R259" t="s">
        <v>16</v>
      </c>
      <c r="S259" t="s">
        <v>16</v>
      </c>
      <c r="T259" t="s">
        <v>4814</v>
      </c>
      <c r="U259" t="s">
        <v>4815</v>
      </c>
      <c r="V259" t="s">
        <v>4816</v>
      </c>
      <c r="W259" t="s">
        <v>4817</v>
      </c>
      <c r="X259" t="s">
        <v>4818</v>
      </c>
      <c r="Y259" t="s">
        <v>4819</v>
      </c>
      <c r="Z259" t="s">
        <v>16</v>
      </c>
      <c r="AA259" t="s">
        <v>16</v>
      </c>
      <c r="AB259" t="s">
        <v>16</v>
      </c>
      <c r="AC259" t="s">
        <v>16</v>
      </c>
      <c r="AD259" t="s">
        <v>16</v>
      </c>
      <c r="AE259" t="s">
        <v>16</v>
      </c>
      <c r="AF259" t="s">
        <v>16</v>
      </c>
      <c r="AG259">
        <v>19</v>
      </c>
      <c r="AH259">
        <v>9</v>
      </c>
      <c r="AI259">
        <v>9</v>
      </c>
      <c r="AJ259">
        <v>0</v>
      </c>
      <c r="AK259">
        <v>11</v>
      </c>
      <c r="AL259" t="s">
        <v>1323</v>
      </c>
      <c r="AM259" t="s">
        <v>570</v>
      </c>
      <c r="AN259" t="s">
        <v>1324</v>
      </c>
      <c r="AO259" t="s">
        <v>3547</v>
      </c>
      <c r="AP259" t="s">
        <v>16</v>
      </c>
      <c r="AQ259" t="s">
        <v>16</v>
      </c>
      <c r="AR259" t="s">
        <v>3549</v>
      </c>
      <c r="AS259" t="s">
        <v>3550</v>
      </c>
      <c r="AT259" t="s">
        <v>4820</v>
      </c>
      <c r="AU259">
        <v>1998</v>
      </c>
      <c r="AV259">
        <v>55</v>
      </c>
      <c r="AW259">
        <v>3</v>
      </c>
      <c r="AX259" t="s">
        <v>16</v>
      </c>
      <c r="AY259" t="s">
        <v>16</v>
      </c>
      <c r="AZ259" t="s">
        <v>16</v>
      </c>
      <c r="BA259" t="s">
        <v>16</v>
      </c>
      <c r="BB259">
        <v>257</v>
      </c>
      <c r="BC259">
        <v>266</v>
      </c>
      <c r="BD259" t="s">
        <v>16</v>
      </c>
      <c r="BE259" t="s">
        <v>4821</v>
      </c>
      <c r="BF259" t="str">
        <f>HYPERLINK("http://dx.doi.org/10.1016/S0378-4290(97)00090-7","http://dx.doi.org/10.1016/S0378-4290(97)00090-7")</f>
        <v>http://dx.doi.org/10.1016/S0378-4290(97)00090-7</v>
      </c>
      <c r="BG259" t="s">
        <v>16</v>
      </c>
      <c r="BH259" t="s">
        <v>16</v>
      </c>
      <c r="BI259">
        <v>10</v>
      </c>
      <c r="BJ259" t="s">
        <v>40</v>
      </c>
      <c r="BK259" t="s">
        <v>73</v>
      </c>
      <c r="BL259" t="s">
        <v>42</v>
      </c>
      <c r="BM259" t="s">
        <v>4822</v>
      </c>
      <c r="BN259" t="s">
        <v>16</v>
      </c>
      <c r="BO259" t="s">
        <v>16</v>
      </c>
      <c r="BP259" t="s">
        <v>16</v>
      </c>
      <c r="BQ259" t="s">
        <v>16</v>
      </c>
      <c r="BR259" t="s">
        <v>44</v>
      </c>
      <c r="BS259" t="s">
        <v>4823</v>
      </c>
      <c r="BT259" t="str">
        <f>HYPERLINK("https%3A%2F%2Fwww.webofscience.com%2Fwos%2Fwoscc%2Ffull-record%2FWOS:000072268300006","View Full Record in Web of Science")</f>
        <v>View Full Record in Web of Science</v>
      </c>
    </row>
    <row r="260" spans="1:72" x14ac:dyDescent="0.2">
      <c r="A260" t="s">
        <v>46</v>
      </c>
      <c r="B260" t="s">
        <v>4824</v>
      </c>
      <c r="C260" t="s">
        <v>16</v>
      </c>
      <c r="D260" t="s">
        <v>16</v>
      </c>
      <c r="E260" t="s">
        <v>16</v>
      </c>
      <c r="F260" t="s">
        <v>4825</v>
      </c>
      <c r="G260" t="s">
        <v>16</v>
      </c>
      <c r="H260" t="s">
        <v>16</v>
      </c>
      <c r="I260" t="s">
        <v>4826</v>
      </c>
      <c r="J260" t="s">
        <v>2815</v>
      </c>
      <c r="K260" t="s">
        <v>16</v>
      </c>
      <c r="L260" t="s">
        <v>16</v>
      </c>
      <c r="M260" t="s">
        <v>22</v>
      </c>
      <c r="N260" t="s">
        <v>51</v>
      </c>
      <c r="O260" t="s">
        <v>16</v>
      </c>
      <c r="P260" t="s">
        <v>16</v>
      </c>
      <c r="Q260" t="s">
        <v>16</v>
      </c>
      <c r="R260" t="s">
        <v>16</v>
      </c>
      <c r="S260" t="s">
        <v>16</v>
      </c>
      <c r="T260" t="s">
        <v>4827</v>
      </c>
      <c r="U260" t="s">
        <v>4828</v>
      </c>
      <c r="V260" t="s">
        <v>4829</v>
      </c>
      <c r="W260" t="s">
        <v>4830</v>
      </c>
      <c r="X260" t="s">
        <v>4831</v>
      </c>
      <c r="Y260" t="s">
        <v>4832</v>
      </c>
      <c r="Z260" t="s">
        <v>4833</v>
      </c>
      <c r="AA260" t="s">
        <v>16</v>
      </c>
      <c r="AB260" t="s">
        <v>16</v>
      </c>
      <c r="AC260" t="s">
        <v>4834</v>
      </c>
      <c r="AD260" t="s">
        <v>4835</v>
      </c>
      <c r="AE260" t="s">
        <v>4836</v>
      </c>
      <c r="AF260" t="s">
        <v>16</v>
      </c>
      <c r="AG260">
        <v>66</v>
      </c>
      <c r="AH260">
        <v>5</v>
      </c>
      <c r="AI260">
        <v>5</v>
      </c>
      <c r="AJ260">
        <v>3</v>
      </c>
      <c r="AK260">
        <v>14</v>
      </c>
      <c r="AL260" t="s">
        <v>2827</v>
      </c>
      <c r="AM260" t="s">
        <v>2828</v>
      </c>
      <c r="AN260" t="s">
        <v>2829</v>
      </c>
      <c r="AO260" t="s">
        <v>2830</v>
      </c>
      <c r="AP260" t="s">
        <v>2831</v>
      </c>
      <c r="AQ260" t="s">
        <v>16</v>
      </c>
      <c r="AR260" t="s">
        <v>2815</v>
      </c>
      <c r="AS260" t="s">
        <v>2832</v>
      </c>
      <c r="AT260" t="s">
        <v>419</v>
      </c>
      <c r="AU260">
        <v>2022</v>
      </c>
      <c r="AV260">
        <v>112</v>
      </c>
      <c r="AW260">
        <v>8</v>
      </c>
      <c r="AX260" t="s">
        <v>16</v>
      </c>
      <c r="AY260" t="s">
        <v>16</v>
      </c>
      <c r="AZ260" t="s">
        <v>16</v>
      </c>
      <c r="BA260" t="s">
        <v>16</v>
      </c>
      <c r="BB260">
        <v>1753</v>
      </c>
      <c r="BC260">
        <v>1765</v>
      </c>
      <c r="BD260" t="s">
        <v>16</v>
      </c>
      <c r="BE260" t="s">
        <v>4837</v>
      </c>
      <c r="BF260" t="str">
        <f>HYPERLINK("http://dx.doi.org/10.1094/PHYTO-09-21-0386-R","http://dx.doi.org/10.1094/PHYTO-09-21-0386-R")</f>
        <v>http://dx.doi.org/10.1094/PHYTO-09-21-0386-R</v>
      </c>
      <c r="BG260" t="s">
        <v>16</v>
      </c>
      <c r="BH260" t="s">
        <v>2260</v>
      </c>
      <c r="BI260">
        <v>13</v>
      </c>
      <c r="BJ260" t="s">
        <v>214</v>
      </c>
      <c r="BK260" t="s">
        <v>73</v>
      </c>
      <c r="BL260" t="s">
        <v>214</v>
      </c>
      <c r="BM260" t="s">
        <v>4838</v>
      </c>
      <c r="BN260">
        <v>35230149</v>
      </c>
      <c r="BO260" t="s">
        <v>16</v>
      </c>
      <c r="BP260" t="s">
        <v>16</v>
      </c>
      <c r="BQ260" t="s">
        <v>16</v>
      </c>
      <c r="BR260" t="s">
        <v>44</v>
      </c>
      <c r="BS260" t="s">
        <v>4839</v>
      </c>
      <c r="BT260" t="str">
        <f>HYPERLINK("https%3A%2F%2Fwww.webofscience.com%2Fwos%2Fwoscc%2Ffull-record%2FWOS:000823015700001","View Full Record in Web of Science")</f>
        <v>View Full Record in Web of Science</v>
      </c>
    </row>
    <row r="261" spans="1:72" x14ac:dyDescent="0.2">
      <c r="A261" t="s">
        <v>46</v>
      </c>
      <c r="B261" t="s">
        <v>4840</v>
      </c>
      <c r="C261" t="s">
        <v>16</v>
      </c>
      <c r="D261" t="s">
        <v>16</v>
      </c>
      <c r="E261" t="s">
        <v>16</v>
      </c>
      <c r="F261" t="s">
        <v>4841</v>
      </c>
      <c r="G261" t="s">
        <v>16</v>
      </c>
      <c r="H261" t="s">
        <v>16</v>
      </c>
      <c r="I261" t="s">
        <v>4842</v>
      </c>
      <c r="J261" t="s">
        <v>368</v>
      </c>
      <c r="K261" t="s">
        <v>16</v>
      </c>
      <c r="L261" t="s">
        <v>16</v>
      </c>
      <c r="M261" t="s">
        <v>22</v>
      </c>
      <c r="N261" t="s">
        <v>51</v>
      </c>
      <c r="O261" t="s">
        <v>16</v>
      </c>
      <c r="P261" t="s">
        <v>16</v>
      </c>
      <c r="Q261" t="s">
        <v>16</v>
      </c>
      <c r="R261" t="s">
        <v>16</v>
      </c>
      <c r="S261" t="s">
        <v>16</v>
      </c>
      <c r="T261" t="s">
        <v>16</v>
      </c>
      <c r="U261" t="s">
        <v>4843</v>
      </c>
      <c r="V261" t="s">
        <v>4844</v>
      </c>
      <c r="W261" t="s">
        <v>4845</v>
      </c>
      <c r="X261" t="s">
        <v>4846</v>
      </c>
      <c r="Y261" t="s">
        <v>4847</v>
      </c>
      <c r="Z261" t="s">
        <v>4848</v>
      </c>
      <c r="AA261" t="s">
        <v>16</v>
      </c>
      <c r="AB261" t="s">
        <v>16</v>
      </c>
      <c r="AC261" t="s">
        <v>4849</v>
      </c>
      <c r="AD261" t="s">
        <v>4850</v>
      </c>
      <c r="AE261" t="s">
        <v>4851</v>
      </c>
      <c r="AF261" t="s">
        <v>16</v>
      </c>
      <c r="AG261">
        <v>27</v>
      </c>
      <c r="AH261">
        <v>27</v>
      </c>
      <c r="AI261">
        <v>33</v>
      </c>
      <c r="AJ261">
        <v>0</v>
      </c>
      <c r="AK261">
        <v>32</v>
      </c>
      <c r="AL261" t="s">
        <v>462</v>
      </c>
      <c r="AM261" t="s">
        <v>376</v>
      </c>
      <c r="AN261" t="s">
        <v>463</v>
      </c>
      <c r="AO261" t="s">
        <v>378</v>
      </c>
      <c r="AP261" t="s">
        <v>379</v>
      </c>
      <c r="AQ261" t="s">
        <v>16</v>
      </c>
      <c r="AR261" t="s">
        <v>368</v>
      </c>
      <c r="AS261" t="s">
        <v>380</v>
      </c>
      <c r="AT261" t="s">
        <v>318</v>
      </c>
      <c r="AU261">
        <v>2015</v>
      </c>
      <c r="AV261">
        <v>115</v>
      </c>
      <c r="AW261">
        <v>6</v>
      </c>
      <c r="AX261" t="s">
        <v>16</v>
      </c>
      <c r="AY261" t="s">
        <v>16</v>
      </c>
      <c r="AZ261" t="s">
        <v>16</v>
      </c>
      <c r="BA261" t="s">
        <v>16</v>
      </c>
      <c r="BB261">
        <v>538</v>
      </c>
      <c r="BC261">
        <v>546</v>
      </c>
      <c r="BD261" t="s">
        <v>16</v>
      </c>
      <c r="BE261" t="s">
        <v>4852</v>
      </c>
      <c r="BF261" t="str">
        <f>HYPERLINK("http://dx.doi.org/10.1038/hdy.2015.56","http://dx.doi.org/10.1038/hdy.2015.56")</f>
        <v>http://dx.doi.org/10.1038/hdy.2015.56</v>
      </c>
      <c r="BG261" t="s">
        <v>16</v>
      </c>
      <c r="BH261" t="s">
        <v>16</v>
      </c>
      <c r="BI261">
        <v>9</v>
      </c>
      <c r="BJ261" t="s">
        <v>296</v>
      </c>
      <c r="BK261" t="s">
        <v>73</v>
      </c>
      <c r="BL261" t="s">
        <v>383</v>
      </c>
      <c r="BM261" t="s">
        <v>4853</v>
      </c>
      <c r="BN261">
        <v>26126541</v>
      </c>
      <c r="BO261" t="s">
        <v>2852</v>
      </c>
      <c r="BP261" t="s">
        <v>16</v>
      </c>
      <c r="BQ261" t="s">
        <v>16</v>
      </c>
      <c r="BR261" t="s">
        <v>44</v>
      </c>
      <c r="BS261" t="s">
        <v>4854</v>
      </c>
      <c r="BT261" t="str">
        <f>HYPERLINK("https%3A%2F%2Fwww.webofscience.com%2Fwos%2Fwoscc%2Ffull-record%2FWOS:000365123300008","View Full Record in Web of Science")</f>
        <v>View Full Record in Web of Science</v>
      </c>
    </row>
    <row r="262" spans="1:72" x14ac:dyDescent="0.2">
      <c r="A262" t="s">
        <v>46</v>
      </c>
      <c r="B262" t="s">
        <v>4855</v>
      </c>
      <c r="C262" t="s">
        <v>16</v>
      </c>
      <c r="D262" t="s">
        <v>16</v>
      </c>
      <c r="E262" t="s">
        <v>16</v>
      </c>
      <c r="F262" t="s">
        <v>4856</v>
      </c>
      <c r="G262" t="s">
        <v>16</v>
      </c>
      <c r="H262" t="s">
        <v>16</v>
      </c>
      <c r="I262" t="s">
        <v>4857</v>
      </c>
      <c r="J262" t="s">
        <v>4533</v>
      </c>
      <c r="K262" t="s">
        <v>16</v>
      </c>
      <c r="L262" t="s">
        <v>16</v>
      </c>
      <c r="M262" t="s">
        <v>22</v>
      </c>
      <c r="N262" t="s">
        <v>51</v>
      </c>
      <c r="O262" t="s">
        <v>16</v>
      </c>
      <c r="P262" t="s">
        <v>16</v>
      </c>
      <c r="Q262" t="s">
        <v>16</v>
      </c>
      <c r="R262" t="s">
        <v>16</v>
      </c>
      <c r="S262" t="s">
        <v>16</v>
      </c>
      <c r="T262" t="s">
        <v>4858</v>
      </c>
      <c r="U262" t="s">
        <v>4859</v>
      </c>
      <c r="V262" t="s">
        <v>4860</v>
      </c>
      <c r="W262" t="s">
        <v>4861</v>
      </c>
      <c r="X262" t="s">
        <v>4862</v>
      </c>
      <c r="Y262" t="s">
        <v>4863</v>
      </c>
      <c r="Z262" t="s">
        <v>4864</v>
      </c>
      <c r="AA262" t="s">
        <v>4865</v>
      </c>
      <c r="AB262" t="s">
        <v>4866</v>
      </c>
      <c r="AC262" t="s">
        <v>4867</v>
      </c>
      <c r="AD262" t="s">
        <v>4868</v>
      </c>
      <c r="AE262" t="s">
        <v>4869</v>
      </c>
      <c r="AF262" t="s">
        <v>16</v>
      </c>
      <c r="AG262">
        <v>52</v>
      </c>
      <c r="AH262">
        <v>8</v>
      </c>
      <c r="AI262">
        <v>8</v>
      </c>
      <c r="AJ262">
        <v>0</v>
      </c>
      <c r="AK262">
        <v>2</v>
      </c>
      <c r="AL262" t="s">
        <v>4540</v>
      </c>
      <c r="AM262" t="s">
        <v>721</v>
      </c>
      <c r="AN262" t="s">
        <v>4541</v>
      </c>
      <c r="AO262" t="s">
        <v>4542</v>
      </c>
      <c r="AP262" t="s">
        <v>4543</v>
      </c>
      <c r="AQ262" t="s">
        <v>16</v>
      </c>
      <c r="AR262" t="s">
        <v>4544</v>
      </c>
      <c r="AS262" t="s">
        <v>4545</v>
      </c>
      <c r="AT262" t="s">
        <v>1533</v>
      </c>
      <c r="AU262">
        <v>2020</v>
      </c>
      <c r="AV262">
        <v>178</v>
      </c>
      <c r="AW262" t="s">
        <v>16</v>
      </c>
      <c r="AX262" t="s">
        <v>16</v>
      </c>
      <c r="AY262" t="s">
        <v>16</v>
      </c>
      <c r="AZ262" t="s">
        <v>16</v>
      </c>
      <c r="BA262" t="s">
        <v>16</v>
      </c>
      <c r="BB262" t="s">
        <v>16</v>
      </c>
      <c r="BC262" t="s">
        <v>16</v>
      </c>
      <c r="BD262">
        <v>102729</v>
      </c>
      <c r="BE262" t="s">
        <v>4870</v>
      </c>
      <c r="BF262" t="str">
        <f>HYPERLINK("http://dx.doi.org/10.1016/j.agsy.2019.102729","http://dx.doi.org/10.1016/j.agsy.2019.102729")</f>
        <v>http://dx.doi.org/10.1016/j.agsy.2019.102729</v>
      </c>
      <c r="BG262" t="s">
        <v>16</v>
      </c>
      <c r="BH262" t="s">
        <v>16</v>
      </c>
      <c r="BI262">
        <v>8</v>
      </c>
      <c r="BJ262" t="s">
        <v>296</v>
      </c>
      <c r="BK262" t="s">
        <v>73</v>
      </c>
      <c r="BL262" t="s">
        <v>42</v>
      </c>
      <c r="BM262" t="s">
        <v>4871</v>
      </c>
      <c r="BN262" t="s">
        <v>16</v>
      </c>
      <c r="BO262" t="s">
        <v>16</v>
      </c>
      <c r="BP262" t="s">
        <v>16</v>
      </c>
      <c r="BQ262" t="s">
        <v>16</v>
      </c>
      <c r="BR262" t="s">
        <v>44</v>
      </c>
      <c r="BS262" t="s">
        <v>4872</v>
      </c>
      <c r="BT262" t="str">
        <f>HYPERLINK("https%3A%2F%2Fwww.webofscience.com%2Fwos%2Fwoscc%2Ffull-record%2FWOS:000524974800027","View Full Record in Web of Science")</f>
        <v>View Full Record in Web of Science</v>
      </c>
    </row>
    <row r="263" spans="1:72" x14ac:dyDescent="0.2">
      <c r="A263" t="s">
        <v>46</v>
      </c>
      <c r="B263" t="s">
        <v>4873</v>
      </c>
      <c r="C263" t="s">
        <v>16</v>
      </c>
      <c r="D263" t="s">
        <v>16</v>
      </c>
      <c r="E263" t="s">
        <v>16</v>
      </c>
      <c r="F263" t="s">
        <v>4873</v>
      </c>
      <c r="G263" t="s">
        <v>16</v>
      </c>
      <c r="H263" t="s">
        <v>16</v>
      </c>
      <c r="I263" t="s">
        <v>4874</v>
      </c>
      <c r="J263" t="s">
        <v>117</v>
      </c>
      <c r="K263" t="s">
        <v>16</v>
      </c>
      <c r="L263" t="s">
        <v>16</v>
      </c>
      <c r="M263" t="s">
        <v>22</v>
      </c>
      <c r="N263" t="s">
        <v>51</v>
      </c>
      <c r="O263" t="s">
        <v>16</v>
      </c>
      <c r="P263" t="s">
        <v>16</v>
      </c>
      <c r="Q263" t="s">
        <v>16</v>
      </c>
      <c r="R263" t="s">
        <v>16</v>
      </c>
      <c r="S263" t="s">
        <v>16</v>
      </c>
      <c r="T263" t="s">
        <v>4875</v>
      </c>
      <c r="U263" t="s">
        <v>4876</v>
      </c>
      <c r="V263" t="s">
        <v>4877</v>
      </c>
      <c r="W263" t="s">
        <v>4878</v>
      </c>
      <c r="X263" t="s">
        <v>4879</v>
      </c>
      <c r="Y263" t="s">
        <v>4880</v>
      </c>
      <c r="Z263" t="s">
        <v>4881</v>
      </c>
      <c r="AA263" t="s">
        <v>659</v>
      </c>
      <c r="AB263" t="s">
        <v>2240</v>
      </c>
      <c r="AC263" t="s">
        <v>16</v>
      </c>
      <c r="AD263" t="s">
        <v>16</v>
      </c>
      <c r="AE263" t="s">
        <v>16</v>
      </c>
      <c r="AF263" t="s">
        <v>16</v>
      </c>
      <c r="AG263">
        <v>24</v>
      </c>
      <c r="AH263">
        <v>22</v>
      </c>
      <c r="AI263">
        <v>62</v>
      </c>
      <c r="AJ263">
        <v>0</v>
      </c>
      <c r="AK263">
        <v>6</v>
      </c>
      <c r="AL263" t="s">
        <v>128</v>
      </c>
      <c r="AM263" t="s">
        <v>129</v>
      </c>
      <c r="AN263" t="s">
        <v>130</v>
      </c>
      <c r="AO263" t="s">
        <v>131</v>
      </c>
      <c r="AP263" t="s">
        <v>132</v>
      </c>
      <c r="AQ263" t="s">
        <v>16</v>
      </c>
      <c r="AR263" t="s">
        <v>133</v>
      </c>
      <c r="AS263" t="s">
        <v>134</v>
      </c>
      <c r="AT263" t="s">
        <v>576</v>
      </c>
      <c r="AU263">
        <v>2001</v>
      </c>
      <c r="AV263">
        <v>103</v>
      </c>
      <c r="AW263">
        <v>5</v>
      </c>
      <c r="AX263" t="s">
        <v>16</v>
      </c>
      <c r="AY263" t="s">
        <v>16</v>
      </c>
      <c r="AZ263" t="s">
        <v>16</v>
      </c>
      <c r="BA263" t="s">
        <v>16</v>
      </c>
      <c r="BB263">
        <v>804</v>
      </c>
      <c r="BC263">
        <v>816</v>
      </c>
      <c r="BD263" t="s">
        <v>16</v>
      </c>
      <c r="BE263" t="s">
        <v>4882</v>
      </c>
      <c r="BF263" t="str">
        <f>HYPERLINK("http://dx.doi.org/10.1007/s001220100628","http://dx.doi.org/10.1007/s001220100628")</f>
        <v>http://dx.doi.org/10.1007/s001220100628</v>
      </c>
      <c r="BG263" t="s">
        <v>16</v>
      </c>
      <c r="BH263" t="s">
        <v>16</v>
      </c>
      <c r="BI263">
        <v>13</v>
      </c>
      <c r="BJ263" t="s">
        <v>296</v>
      </c>
      <c r="BK263" t="s">
        <v>73</v>
      </c>
      <c r="BL263" t="s">
        <v>137</v>
      </c>
      <c r="BM263" t="s">
        <v>4883</v>
      </c>
      <c r="BN263" t="s">
        <v>16</v>
      </c>
      <c r="BO263" t="s">
        <v>16</v>
      </c>
      <c r="BP263" t="s">
        <v>16</v>
      </c>
      <c r="BQ263" t="s">
        <v>16</v>
      </c>
      <c r="BR263" t="s">
        <v>44</v>
      </c>
      <c r="BS263" t="s">
        <v>4884</v>
      </c>
      <c r="BT263" t="str">
        <f>HYPERLINK("https%3A%2F%2Fwww.webofscience.com%2Fwos%2Fwoscc%2Ffull-record%2FWOS:000171839800019","View Full Record in Web of Science")</f>
        <v>View Full Record in Web of Science</v>
      </c>
    </row>
    <row r="264" spans="1:72" x14ac:dyDescent="0.2">
      <c r="A264" t="s">
        <v>46</v>
      </c>
      <c r="B264" t="s">
        <v>4885</v>
      </c>
      <c r="C264" t="s">
        <v>16</v>
      </c>
      <c r="D264" t="s">
        <v>16</v>
      </c>
      <c r="E264" t="s">
        <v>16</v>
      </c>
      <c r="F264" t="s">
        <v>4886</v>
      </c>
      <c r="G264" t="s">
        <v>16</v>
      </c>
      <c r="H264" t="s">
        <v>16</v>
      </c>
      <c r="I264" t="s">
        <v>4887</v>
      </c>
      <c r="J264" t="s">
        <v>4888</v>
      </c>
      <c r="K264" t="s">
        <v>16</v>
      </c>
      <c r="L264" t="s">
        <v>16</v>
      </c>
      <c r="M264" t="s">
        <v>22</v>
      </c>
      <c r="N264" t="s">
        <v>943</v>
      </c>
      <c r="O264" t="s">
        <v>16</v>
      </c>
      <c r="P264" t="s">
        <v>16</v>
      </c>
      <c r="Q264" t="s">
        <v>16</v>
      </c>
      <c r="R264" t="s">
        <v>16</v>
      </c>
      <c r="S264" t="s">
        <v>16</v>
      </c>
      <c r="T264" t="s">
        <v>4889</v>
      </c>
      <c r="U264" t="s">
        <v>4890</v>
      </c>
      <c r="V264" t="s">
        <v>4891</v>
      </c>
      <c r="W264" t="s">
        <v>4892</v>
      </c>
      <c r="X264" t="s">
        <v>4893</v>
      </c>
      <c r="Y264" t="s">
        <v>4894</v>
      </c>
      <c r="Z264" t="s">
        <v>4895</v>
      </c>
      <c r="AA264" t="s">
        <v>16</v>
      </c>
      <c r="AB264" t="s">
        <v>4896</v>
      </c>
      <c r="AC264" t="s">
        <v>4897</v>
      </c>
      <c r="AD264" t="s">
        <v>4898</v>
      </c>
      <c r="AE264" t="s">
        <v>4899</v>
      </c>
      <c r="AF264" t="s">
        <v>16</v>
      </c>
      <c r="AG264">
        <v>85</v>
      </c>
      <c r="AH264">
        <v>0</v>
      </c>
      <c r="AI264">
        <v>0</v>
      </c>
      <c r="AJ264">
        <v>6</v>
      </c>
      <c r="AK264">
        <v>6</v>
      </c>
      <c r="AL264" t="s">
        <v>4900</v>
      </c>
      <c r="AM264" t="s">
        <v>4901</v>
      </c>
      <c r="AN264" t="s">
        <v>4902</v>
      </c>
      <c r="AO264" t="s">
        <v>4903</v>
      </c>
      <c r="AP264" t="s">
        <v>4904</v>
      </c>
      <c r="AQ264" t="s">
        <v>16</v>
      </c>
      <c r="AR264" t="s">
        <v>4905</v>
      </c>
      <c r="AS264" t="s">
        <v>4906</v>
      </c>
      <c r="AT264" t="s">
        <v>4907</v>
      </c>
      <c r="AU264">
        <v>2024</v>
      </c>
      <c r="AV264" t="s">
        <v>16</v>
      </c>
      <c r="AW264" t="s">
        <v>16</v>
      </c>
      <c r="AX264" t="s">
        <v>16</v>
      </c>
      <c r="AY264" t="s">
        <v>16</v>
      </c>
      <c r="AZ264" t="s">
        <v>16</v>
      </c>
      <c r="BA264" t="s">
        <v>16</v>
      </c>
      <c r="BB264" t="s">
        <v>16</v>
      </c>
      <c r="BC264" t="s">
        <v>16</v>
      </c>
      <c r="BD264" t="s">
        <v>16</v>
      </c>
      <c r="BE264" t="s">
        <v>4908</v>
      </c>
      <c r="BF264" t="str">
        <f>HYPERLINK("http://dx.doi.org/10.2174/0113892010322778240927073617","http://dx.doi.org/10.2174/0113892010322778240927073617")</f>
        <v>http://dx.doi.org/10.2174/0113892010322778240927073617</v>
      </c>
      <c r="BG264" t="s">
        <v>16</v>
      </c>
      <c r="BH264" t="s">
        <v>4909</v>
      </c>
      <c r="BI264">
        <v>16</v>
      </c>
      <c r="BJ264" t="s">
        <v>296</v>
      </c>
      <c r="BK264" t="s">
        <v>73</v>
      </c>
      <c r="BL264" t="s">
        <v>4910</v>
      </c>
      <c r="BM264" t="s">
        <v>4911</v>
      </c>
      <c r="BN264">
        <v>39410890</v>
      </c>
      <c r="BO264" t="s">
        <v>16</v>
      </c>
      <c r="BP264" t="s">
        <v>16</v>
      </c>
      <c r="BQ264" t="s">
        <v>16</v>
      </c>
      <c r="BR264" t="s">
        <v>44</v>
      </c>
      <c r="BS264" t="s">
        <v>4912</v>
      </c>
      <c r="BT264" t="str">
        <f>HYPERLINK("https%3A%2F%2Fwww.webofscience.com%2Fwos%2Fwoscc%2Ffull-record%2FWOS:001336817000001","View Full Record in Web of Science")</f>
        <v>View Full Record in Web of Science</v>
      </c>
    </row>
    <row r="265" spans="1:72" x14ac:dyDescent="0.2">
      <c r="A265" t="s">
        <v>46</v>
      </c>
      <c r="B265" t="s">
        <v>4913</v>
      </c>
      <c r="C265" t="s">
        <v>16</v>
      </c>
      <c r="D265" t="s">
        <v>16</v>
      </c>
      <c r="E265" t="s">
        <v>16</v>
      </c>
      <c r="F265" t="s">
        <v>4914</v>
      </c>
      <c r="G265" t="s">
        <v>16</v>
      </c>
      <c r="H265" t="s">
        <v>16</v>
      </c>
      <c r="I265" t="s">
        <v>4915</v>
      </c>
      <c r="J265" t="s">
        <v>3053</v>
      </c>
      <c r="K265" t="s">
        <v>16</v>
      </c>
      <c r="L265" t="s">
        <v>16</v>
      </c>
      <c r="M265" t="s">
        <v>22</v>
      </c>
      <c r="N265" t="s">
        <v>51</v>
      </c>
      <c r="O265" t="s">
        <v>16</v>
      </c>
      <c r="P265" t="s">
        <v>16</v>
      </c>
      <c r="Q265" t="s">
        <v>16</v>
      </c>
      <c r="R265" t="s">
        <v>16</v>
      </c>
      <c r="S265" t="s">
        <v>16</v>
      </c>
      <c r="T265" t="s">
        <v>16</v>
      </c>
      <c r="U265" t="s">
        <v>4916</v>
      </c>
      <c r="V265" t="s">
        <v>4917</v>
      </c>
      <c r="W265" t="s">
        <v>4918</v>
      </c>
      <c r="X265" t="s">
        <v>4919</v>
      </c>
      <c r="Y265" t="s">
        <v>4920</v>
      </c>
      <c r="Z265" t="s">
        <v>4921</v>
      </c>
      <c r="AA265" t="s">
        <v>16</v>
      </c>
      <c r="AB265" t="s">
        <v>16</v>
      </c>
      <c r="AC265" t="s">
        <v>16</v>
      </c>
      <c r="AD265" t="s">
        <v>16</v>
      </c>
      <c r="AE265" t="s">
        <v>16</v>
      </c>
      <c r="AF265" t="s">
        <v>16</v>
      </c>
      <c r="AG265">
        <v>33</v>
      </c>
      <c r="AH265">
        <v>14</v>
      </c>
      <c r="AI265">
        <v>15</v>
      </c>
      <c r="AJ265">
        <v>3</v>
      </c>
      <c r="AK265">
        <v>30</v>
      </c>
      <c r="AL265" t="s">
        <v>3063</v>
      </c>
      <c r="AM265" t="s">
        <v>376</v>
      </c>
      <c r="AN265" t="s">
        <v>3064</v>
      </c>
      <c r="AO265" t="s">
        <v>3065</v>
      </c>
      <c r="AP265" t="s">
        <v>3066</v>
      </c>
      <c r="AQ265" t="s">
        <v>16</v>
      </c>
      <c r="AR265" t="s">
        <v>3067</v>
      </c>
      <c r="AS265" t="s">
        <v>3068</v>
      </c>
      <c r="AT265" t="s">
        <v>4922</v>
      </c>
      <c r="AU265">
        <v>2015</v>
      </c>
      <c r="AV265">
        <v>47</v>
      </c>
      <c r="AW265" t="s">
        <v>16</v>
      </c>
      <c r="AX265" t="s">
        <v>16</v>
      </c>
      <c r="AY265" t="s">
        <v>16</v>
      </c>
      <c r="AZ265" t="s">
        <v>16</v>
      </c>
      <c r="BA265" t="s">
        <v>16</v>
      </c>
      <c r="BB265" t="s">
        <v>16</v>
      </c>
      <c r="BC265" t="s">
        <v>16</v>
      </c>
      <c r="BD265">
        <v>32</v>
      </c>
      <c r="BE265" t="s">
        <v>4923</v>
      </c>
      <c r="BF265" t="str">
        <f>HYPERLINK("http://dx.doi.org/10.1186/s12711-015-0091-y","http://dx.doi.org/10.1186/s12711-015-0091-y")</f>
        <v>http://dx.doi.org/10.1186/s12711-015-0091-y</v>
      </c>
      <c r="BG265" t="s">
        <v>16</v>
      </c>
      <c r="BH265" t="s">
        <v>16</v>
      </c>
      <c r="BI265">
        <v>10</v>
      </c>
      <c r="BJ265" t="s">
        <v>296</v>
      </c>
      <c r="BK265" t="s">
        <v>73</v>
      </c>
      <c r="BL265" t="s">
        <v>3071</v>
      </c>
      <c r="BM265" t="s">
        <v>4924</v>
      </c>
      <c r="BN265">
        <v>25928098</v>
      </c>
      <c r="BO265" t="s">
        <v>216</v>
      </c>
      <c r="BP265" t="s">
        <v>16</v>
      </c>
      <c r="BQ265" t="s">
        <v>16</v>
      </c>
      <c r="BR265" t="s">
        <v>44</v>
      </c>
      <c r="BS265" t="s">
        <v>4925</v>
      </c>
      <c r="BT265" t="str">
        <f>HYPERLINK("https%3A%2F%2Fwww.webofscience.com%2Fwos%2Fwoscc%2Ffull-record%2FWOS:000353195000001","View Full Record in Web of Science")</f>
        <v>View Full Record in Web of Science</v>
      </c>
    </row>
    <row r="266" spans="1:72" x14ac:dyDescent="0.2">
      <c r="A266" t="s">
        <v>46</v>
      </c>
      <c r="B266" t="s">
        <v>4926</v>
      </c>
      <c r="C266" t="s">
        <v>16</v>
      </c>
      <c r="D266" t="s">
        <v>16</v>
      </c>
      <c r="E266" t="s">
        <v>16</v>
      </c>
      <c r="F266" t="s">
        <v>4927</v>
      </c>
      <c r="G266" t="s">
        <v>16</v>
      </c>
      <c r="H266" t="s">
        <v>16</v>
      </c>
      <c r="I266" t="s">
        <v>4928</v>
      </c>
      <c r="J266" t="s">
        <v>734</v>
      </c>
      <c r="K266" t="s">
        <v>16</v>
      </c>
      <c r="L266" t="s">
        <v>16</v>
      </c>
      <c r="M266" t="s">
        <v>22</v>
      </c>
      <c r="N266" t="s">
        <v>51</v>
      </c>
      <c r="O266" t="s">
        <v>16</v>
      </c>
      <c r="P266" t="s">
        <v>16</v>
      </c>
      <c r="Q266" t="s">
        <v>16</v>
      </c>
      <c r="R266" t="s">
        <v>16</v>
      </c>
      <c r="S266" t="s">
        <v>16</v>
      </c>
      <c r="T266" t="s">
        <v>4929</v>
      </c>
      <c r="U266" t="s">
        <v>1391</v>
      </c>
      <c r="V266" t="s">
        <v>4930</v>
      </c>
      <c r="W266" t="s">
        <v>4931</v>
      </c>
      <c r="X266" t="s">
        <v>1322</v>
      </c>
      <c r="Y266" t="s">
        <v>4932</v>
      </c>
      <c r="Z266" t="s">
        <v>4933</v>
      </c>
      <c r="AA266" t="s">
        <v>4934</v>
      </c>
      <c r="AB266" t="s">
        <v>4935</v>
      </c>
      <c r="AC266" t="s">
        <v>4936</v>
      </c>
      <c r="AD266" t="s">
        <v>4937</v>
      </c>
      <c r="AE266" t="s">
        <v>4938</v>
      </c>
      <c r="AF266" t="s">
        <v>16</v>
      </c>
      <c r="AG266">
        <v>37</v>
      </c>
      <c r="AH266">
        <v>1</v>
      </c>
      <c r="AI266">
        <v>1</v>
      </c>
      <c r="AJ266">
        <v>0</v>
      </c>
      <c r="AK266">
        <v>0</v>
      </c>
      <c r="AL266" t="s">
        <v>745</v>
      </c>
      <c r="AM266" t="s">
        <v>746</v>
      </c>
      <c r="AN266" t="s">
        <v>747</v>
      </c>
      <c r="AO266" t="s">
        <v>748</v>
      </c>
      <c r="AP266" t="s">
        <v>16</v>
      </c>
      <c r="AQ266" t="s">
        <v>16</v>
      </c>
      <c r="AR266" t="s">
        <v>749</v>
      </c>
      <c r="AS266" t="s">
        <v>750</v>
      </c>
      <c r="AT266" t="s">
        <v>4939</v>
      </c>
      <c r="AU266">
        <v>2024</v>
      </c>
      <c r="AV266">
        <v>14</v>
      </c>
      <c r="AW266">
        <v>11</v>
      </c>
      <c r="AX266" t="s">
        <v>16</v>
      </c>
      <c r="AY266" t="s">
        <v>16</v>
      </c>
      <c r="AZ266" t="s">
        <v>16</v>
      </c>
      <c r="BA266" t="s">
        <v>16</v>
      </c>
      <c r="BB266" t="s">
        <v>16</v>
      </c>
      <c r="BC266" t="s">
        <v>16</v>
      </c>
      <c r="BD266" t="s">
        <v>16</v>
      </c>
      <c r="BE266" t="s">
        <v>4940</v>
      </c>
      <c r="BF266" t="str">
        <f>HYPERLINK("http://dx.doi.org/10.1093/g3journal/jkae205","http://dx.doi.org/10.1093/g3journal/jkae205")</f>
        <v>http://dx.doi.org/10.1093/g3journal/jkae205</v>
      </c>
      <c r="BG266" t="s">
        <v>16</v>
      </c>
      <c r="BH266" t="s">
        <v>1185</v>
      </c>
      <c r="BI266">
        <v>15</v>
      </c>
      <c r="BJ266" t="s">
        <v>339</v>
      </c>
      <c r="BK266" t="s">
        <v>73</v>
      </c>
      <c r="BL266" t="s">
        <v>339</v>
      </c>
      <c r="BM266" t="s">
        <v>4941</v>
      </c>
      <c r="BN266">
        <v>39197015</v>
      </c>
      <c r="BO266" t="s">
        <v>511</v>
      </c>
      <c r="BP266" t="s">
        <v>16</v>
      </c>
      <c r="BQ266" t="s">
        <v>16</v>
      </c>
      <c r="BR266" t="s">
        <v>44</v>
      </c>
      <c r="BS266" t="s">
        <v>4942</v>
      </c>
      <c r="BT266" t="str">
        <f>HYPERLINK("https%3A%2F%2Fwww.webofscience.com%2Fwos%2Fwoscc%2Ffull-record%2FWOS:001320359200001","View Full Record in Web of Science")</f>
        <v>View Full Record in Web of Science</v>
      </c>
    </row>
    <row r="267" spans="1:72" x14ac:dyDescent="0.2">
      <c r="A267" t="s">
        <v>46</v>
      </c>
      <c r="B267" t="s">
        <v>4943</v>
      </c>
      <c r="C267" t="s">
        <v>16</v>
      </c>
      <c r="D267" t="s">
        <v>16</v>
      </c>
      <c r="E267" t="s">
        <v>16</v>
      </c>
      <c r="F267" t="s">
        <v>4944</v>
      </c>
      <c r="G267" t="s">
        <v>16</v>
      </c>
      <c r="H267" t="s">
        <v>16</v>
      </c>
      <c r="I267" t="s">
        <v>4945</v>
      </c>
      <c r="J267" t="s">
        <v>4946</v>
      </c>
      <c r="K267" t="s">
        <v>16</v>
      </c>
      <c r="L267" t="s">
        <v>16</v>
      </c>
      <c r="M267" t="s">
        <v>22</v>
      </c>
      <c r="N267" t="s">
        <v>118</v>
      </c>
      <c r="O267" t="s">
        <v>16</v>
      </c>
      <c r="P267" t="s">
        <v>16</v>
      </c>
      <c r="Q267" t="s">
        <v>16</v>
      </c>
      <c r="R267" t="s">
        <v>16</v>
      </c>
      <c r="S267" t="s">
        <v>16</v>
      </c>
      <c r="T267" t="s">
        <v>4947</v>
      </c>
      <c r="U267" t="s">
        <v>4948</v>
      </c>
      <c r="V267" t="s">
        <v>4949</v>
      </c>
      <c r="W267" t="s">
        <v>4950</v>
      </c>
      <c r="X267" t="s">
        <v>4951</v>
      </c>
      <c r="Y267" t="s">
        <v>4952</v>
      </c>
      <c r="Z267" t="s">
        <v>4953</v>
      </c>
      <c r="AA267" t="s">
        <v>4954</v>
      </c>
      <c r="AB267" t="s">
        <v>4955</v>
      </c>
      <c r="AC267" t="s">
        <v>16</v>
      </c>
      <c r="AD267" t="s">
        <v>16</v>
      </c>
      <c r="AE267" t="s">
        <v>16</v>
      </c>
      <c r="AF267" t="s">
        <v>16</v>
      </c>
      <c r="AG267">
        <v>59</v>
      </c>
      <c r="AH267">
        <v>64</v>
      </c>
      <c r="AI267">
        <v>78</v>
      </c>
      <c r="AJ267">
        <v>1</v>
      </c>
      <c r="AK267">
        <v>59</v>
      </c>
      <c r="AL267" t="s">
        <v>720</v>
      </c>
      <c r="AM267" t="s">
        <v>721</v>
      </c>
      <c r="AN267" t="s">
        <v>722</v>
      </c>
      <c r="AO267" t="s">
        <v>4956</v>
      </c>
      <c r="AP267" t="s">
        <v>16</v>
      </c>
      <c r="AQ267" t="s">
        <v>16</v>
      </c>
      <c r="AR267" t="s">
        <v>4957</v>
      </c>
      <c r="AS267" t="s">
        <v>4958</v>
      </c>
      <c r="AT267" t="s">
        <v>576</v>
      </c>
      <c r="AU267">
        <v>2007</v>
      </c>
      <c r="AV267">
        <v>100</v>
      </c>
      <c r="AW267">
        <v>5</v>
      </c>
      <c r="AX267" t="s">
        <v>16</v>
      </c>
      <c r="AY267" t="s">
        <v>16</v>
      </c>
      <c r="AZ267" t="s">
        <v>16</v>
      </c>
      <c r="BA267" t="s">
        <v>16</v>
      </c>
      <c r="BB267">
        <v>967</v>
      </c>
      <c r="BC267">
        <v>973</v>
      </c>
      <c r="BD267" t="s">
        <v>16</v>
      </c>
      <c r="BE267" t="s">
        <v>4959</v>
      </c>
      <c r="BF267" t="str">
        <f>HYPERLINK("http://dx.doi.org/10.1093/aob/mcm173","http://dx.doi.org/10.1093/aob/mcm173")</f>
        <v>http://dx.doi.org/10.1093/aob/mcm173</v>
      </c>
      <c r="BG267" t="s">
        <v>16</v>
      </c>
      <c r="BH267" t="s">
        <v>16</v>
      </c>
      <c r="BI267">
        <v>7</v>
      </c>
      <c r="BJ267" t="s">
        <v>214</v>
      </c>
      <c r="BK267" t="s">
        <v>73</v>
      </c>
      <c r="BL267" t="s">
        <v>214</v>
      </c>
      <c r="BM267" t="s">
        <v>4960</v>
      </c>
      <c r="BN267">
        <v>17704539</v>
      </c>
      <c r="BO267" t="s">
        <v>4961</v>
      </c>
      <c r="BP267" t="s">
        <v>16</v>
      </c>
      <c r="BQ267" t="s">
        <v>16</v>
      </c>
      <c r="BR267" t="s">
        <v>44</v>
      </c>
      <c r="BS267" t="s">
        <v>4962</v>
      </c>
      <c r="BT267" t="str">
        <f>HYPERLINK("https%3A%2F%2Fwww.webofscience.com%2Fwos%2Fwoscc%2Ffull-record%2FWOS:000250663800007","View Full Record in Web of Science")</f>
        <v>View Full Record in Web of Science</v>
      </c>
    </row>
    <row r="268" spans="1:72" x14ac:dyDescent="0.2">
      <c r="A268" t="s">
        <v>46</v>
      </c>
      <c r="B268" t="s">
        <v>4963</v>
      </c>
      <c r="C268" t="s">
        <v>16</v>
      </c>
      <c r="D268" t="s">
        <v>16</v>
      </c>
      <c r="E268" t="s">
        <v>16</v>
      </c>
      <c r="F268" t="s">
        <v>4964</v>
      </c>
      <c r="G268" t="s">
        <v>16</v>
      </c>
      <c r="H268" t="s">
        <v>16</v>
      </c>
      <c r="I268" t="s">
        <v>4965</v>
      </c>
      <c r="J268" t="s">
        <v>1541</v>
      </c>
      <c r="K268" t="s">
        <v>16</v>
      </c>
      <c r="L268" t="s">
        <v>16</v>
      </c>
      <c r="M268" t="s">
        <v>22</v>
      </c>
      <c r="N268" t="s">
        <v>51</v>
      </c>
      <c r="O268" t="s">
        <v>16</v>
      </c>
      <c r="P268" t="s">
        <v>16</v>
      </c>
      <c r="Q268" t="s">
        <v>16</v>
      </c>
      <c r="R268" t="s">
        <v>16</v>
      </c>
      <c r="S268" t="s">
        <v>16</v>
      </c>
      <c r="T268" t="s">
        <v>16</v>
      </c>
      <c r="U268" t="s">
        <v>4966</v>
      </c>
      <c r="V268" t="s">
        <v>4967</v>
      </c>
      <c r="W268" t="s">
        <v>4968</v>
      </c>
      <c r="X268" t="s">
        <v>4969</v>
      </c>
      <c r="Y268" t="s">
        <v>4970</v>
      </c>
      <c r="Z268" t="s">
        <v>4971</v>
      </c>
      <c r="AA268" t="s">
        <v>16</v>
      </c>
      <c r="AB268" t="s">
        <v>4972</v>
      </c>
      <c r="AC268" t="s">
        <v>4973</v>
      </c>
      <c r="AD268" t="s">
        <v>4974</v>
      </c>
      <c r="AE268" t="s">
        <v>4975</v>
      </c>
      <c r="AF268" t="s">
        <v>16</v>
      </c>
      <c r="AG268">
        <v>86</v>
      </c>
      <c r="AH268">
        <v>17</v>
      </c>
      <c r="AI268">
        <v>20</v>
      </c>
      <c r="AJ268">
        <v>2</v>
      </c>
      <c r="AK268">
        <v>26</v>
      </c>
      <c r="AL268" t="s">
        <v>1553</v>
      </c>
      <c r="AM268" t="s">
        <v>1554</v>
      </c>
      <c r="AN268" t="s">
        <v>1555</v>
      </c>
      <c r="AO268" t="s">
        <v>1556</v>
      </c>
      <c r="AP268" t="s">
        <v>16</v>
      </c>
      <c r="AQ268" t="s">
        <v>16</v>
      </c>
      <c r="AR268" t="s">
        <v>1541</v>
      </c>
      <c r="AS268" t="s">
        <v>1557</v>
      </c>
      <c r="AT268" t="s">
        <v>4976</v>
      </c>
      <c r="AU268">
        <v>2018</v>
      </c>
      <c r="AV268">
        <v>13</v>
      </c>
      <c r="AW268">
        <v>12</v>
      </c>
      <c r="AX268" t="s">
        <v>16</v>
      </c>
      <c r="AY268" t="s">
        <v>16</v>
      </c>
      <c r="AZ268" t="s">
        <v>16</v>
      </c>
      <c r="BA268" t="s">
        <v>16</v>
      </c>
      <c r="BB268" t="s">
        <v>16</v>
      </c>
      <c r="BC268" t="s">
        <v>16</v>
      </c>
      <c r="BD268" t="s">
        <v>4977</v>
      </c>
      <c r="BE268" t="s">
        <v>4978</v>
      </c>
      <c r="BF268" t="str">
        <f>HYPERLINK("http://dx.doi.org/10.1371/journal.pone.0208232","http://dx.doi.org/10.1371/journal.pone.0208232")</f>
        <v>http://dx.doi.org/10.1371/journal.pone.0208232</v>
      </c>
      <c r="BG268" t="s">
        <v>16</v>
      </c>
      <c r="BH268" t="s">
        <v>16</v>
      </c>
      <c r="BI268">
        <v>21</v>
      </c>
      <c r="BJ268" t="s">
        <v>296</v>
      </c>
      <c r="BK268" t="s">
        <v>73</v>
      </c>
      <c r="BL268" t="s">
        <v>297</v>
      </c>
      <c r="BM268" t="s">
        <v>4979</v>
      </c>
      <c r="BN268">
        <v>30532178</v>
      </c>
      <c r="BO268" t="s">
        <v>1409</v>
      </c>
      <c r="BP268" t="s">
        <v>16</v>
      </c>
      <c r="BQ268" t="s">
        <v>16</v>
      </c>
      <c r="BR268" t="s">
        <v>44</v>
      </c>
      <c r="BS268" t="s">
        <v>4980</v>
      </c>
      <c r="BT268" t="str">
        <f>HYPERLINK("https%3A%2F%2Fwww.webofscience.com%2Fwos%2Fwoscc%2Ffull-record%2FWOS:000452644700015","View Full Record in Web of Science")</f>
        <v>View Full Record in Web of Science</v>
      </c>
    </row>
    <row r="269" spans="1:72" x14ac:dyDescent="0.2">
      <c r="A269" t="s">
        <v>46</v>
      </c>
      <c r="B269" t="s">
        <v>4981</v>
      </c>
      <c r="C269" t="s">
        <v>16</v>
      </c>
      <c r="D269" t="s">
        <v>16</v>
      </c>
      <c r="E269" t="s">
        <v>16</v>
      </c>
      <c r="F269" t="s">
        <v>4982</v>
      </c>
      <c r="G269" t="s">
        <v>16</v>
      </c>
      <c r="H269" t="s">
        <v>16</v>
      </c>
      <c r="I269" t="s">
        <v>4983</v>
      </c>
      <c r="J269" t="s">
        <v>4984</v>
      </c>
      <c r="K269" t="s">
        <v>16</v>
      </c>
      <c r="L269" t="s">
        <v>16</v>
      </c>
      <c r="M269" t="s">
        <v>22</v>
      </c>
      <c r="N269" t="s">
        <v>51</v>
      </c>
      <c r="O269" t="s">
        <v>16</v>
      </c>
      <c r="P269" t="s">
        <v>16</v>
      </c>
      <c r="Q269" t="s">
        <v>16</v>
      </c>
      <c r="R269" t="s">
        <v>16</v>
      </c>
      <c r="S269" t="s">
        <v>16</v>
      </c>
      <c r="T269" t="s">
        <v>4985</v>
      </c>
      <c r="U269" t="s">
        <v>4986</v>
      </c>
      <c r="V269" t="s">
        <v>4987</v>
      </c>
      <c r="W269" t="s">
        <v>4988</v>
      </c>
      <c r="X269" t="s">
        <v>4989</v>
      </c>
      <c r="Y269" t="s">
        <v>4990</v>
      </c>
      <c r="Z269" t="s">
        <v>4991</v>
      </c>
      <c r="AA269" t="s">
        <v>4992</v>
      </c>
      <c r="AB269" t="s">
        <v>4993</v>
      </c>
      <c r="AC269" t="s">
        <v>4994</v>
      </c>
      <c r="AD269" t="s">
        <v>4995</v>
      </c>
      <c r="AE269" t="s">
        <v>4996</v>
      </c>
      <c r="AF269" t="s">
        <v>16</v>
      </c>
      <c r="AG269">
        <v>86</v>
      </c>
      <c r="AH269">
        <v>15</v>
      </c>
      <c r="AI269">
        <v>17</v>
      </c>
      <c r="AJ269">
        <v>3</v>
      </c>
      <c r="AK269">
        <v>45</v>
      </c>
      <c r="AL269" t="s">
        <v>63</v>
      </c>
      <c r="AM269" t="s">
        <v>64</v>
      </c>
      <c r="AN269" t="s">
        <v>65</v>
      </c>
      <c r="AO269" t="s">
        <v>4997</v>
      </c>
      <c r="AP269" t="s">
        <v>4998</v>
      </c>
      <c r="AQ269" t="s">
        <v>16</v>
      </c>
      <c r="AR269" t="s">
        <v>4999</v>
      </c>
      <c r="AS269" t="s">
        <v>5000</v>
      </c>
      <c r="AT269" t="s">
        <v>1233</v>
      </c>
      <c r="AU269">
        <v>2022</v>
      </c>
      <c r="AV269">
        <v>28</v>
      </c>
      <c r="AW269">
        <v>8</v>
      </c>
      <c r="AX269" t="s">
        <v>16</v>
      </c>
      <c r="AY269" t="s">
        <v>16</v>
      </c>
      <c r="AZ269" t="s">
        <v>16</v>
      </c>
      <c r="BA269" t="s">
        <v>16</v>
      </c>
      <c r="BB269">
        <v>2689</v>
      </c>
      <c r="BC269">
        <v>2710</v>
      </c>
      <c r="BD269" t="s">
        <v>16</v>
      </c>
      <c r="BE269" t="s">
        <v>5001</v>
      </c>
      <c r="BF269" t="str">
        <f>HYPERLINK("http://dx.doi.org/10.1111/gcb.16087","http://dx.doi.org/10.1111/gcb.16087")</f>
        <v>http://dx.doi.org/10.1111/gcb.16087</v>
      </c>
      <c r="BG269" t="s">
        <v>16</v>
      </c>
      <c r="BH269" t="s">
        <v>5002</v>
      </c>
      <c r="BI269">
        <v>22</v>
      </c>
      <c r="BJ269" t="s">
        <v>296</v>
      </c>
      <c r="BK269" t="s">
        <v>73</v>
      </c>
      <c r="BL269" t="s">
        <v>5003</v>
      </c>
      <c r="BM269" t="s">
        <v>5004</v>
      </c>
      <c r="BN269">
        <v>35043531</v>
      </c>
      <c r="BO269" t="s">
        <v>16</v>
      </c>
      <c r="BP269" t="s">
        <v>16</v>
      </c>
      <c r="BQ269" t="s">
        <v>16</v>
      </c>
      <c r="BR269" t="s">
        <v>44</v>
      </c>
      <c r="BS269" t="s">
        <v>5005</v>
      </c>
      <c r="BT269" t="str">
        <f>HYPERLINK("https%3A%2F%2Fwww.webofscience.com%2Fwos%2Fwoscc%2Ffull-record%2FWOS:000749649500001","View Full Record in Web of Science")</f>
        <v>View Full Record in Web of Science</v>
      </c>
    </row>
    <row r="270" spans="1:72" x14ac:dyDescent="0.2">
      <c r="A270" t="s">
        <v>46</v>
      </c>
      <c r="B270" t="s">
        <v>5006</v>
      </c>
      <c r="C270" t="s">
        <v>16</v>
      </c>
      <c r="D270" t="s">
        <v>16</v>
      </c>
      <c r="E270" t="s">
        <v>16</v>
      </c>
      <c r="F270" t="s">
        <v>5006</v>
      </c>
      <c r="G270" t="s">
        <v>16</v>
      </c>
      <c r="H270" t="s">
        <v>16</v>
      </c>
      <c r="I270" t="s">
        <v>5007</v>
      </c>
      <c r="J270" t="s">
        <v>5008</v>
      </c>
      <c r="K270" t="s">
        <v>16</v>
      </c>
      <c r="L270" t="s">
        <v>16</v>
      </c>
      <c r="M270" t="s">
        <v>5009</v>
      </c>
      <c r="N270" t="s">
        <v>51</v>
      </c>
      <c r="O270" t="s">
        <v>16</v>
      </c>
      <c r="P270" t="s">
        <v>16</v>
      </c>
      <c r="Q270" t="s">
        <v>16</v>
      </c>
      <c r="R270" t="s">
        <v>16</v>
      </c>
      <c r="S270" t="s">
        <v>16</v>
      </c>
      <c r="T270" t="s">
        <v>5010</v>
      </c>
      <c r="U270" t="s">
        <v>16</v>
      </c>
      <c r="V270" t="s">
        <v>5011</v>
      </c>
      <c r="W270" t="s">
        <v>5012</v>
      </c>
      <c r="X270" t="s">
        <v>5013</v>
      </c>
      <c r="Y270" t="s">
        <v>5014</v>
      </c>
      <c r="Z270" t="s">
        <v>16</v>
      </c>
      <c r="AA270" t="s">
        <v>16</v>
      </c>
      <c r="AB270" t="s">
        <v>16</v>
      </c>
      <c r="AC270" t="s">
        <v>16</v>
      </c>
      <c r="AD270" t="s">
        <v>16</v>
      </c>
      <c r="AE270" t="s">
        <v>16</v>
      </c>
      <c r="AF270" t="s">
        <v>16</v>
      </c>
      <c r="AG270">
        <v>30</v>
      </c>
      <c r="AH270">
        <v>1</v>
      </c>
      <c r="AI270">
        <v>2</v>
      </c>
      <c r="AJ270">
        <v>0</v>
      </c>
      <c r="AK270">
        <v>2</v>
      </c>
      <c r="AL270" t="s">
        <v>5015</v>
      </c>
      <c r="AM270" t="s">
        <v>5016</v>
      </c>
      <c r="AN270" t="s">
        <v>5017</v>
      </c>
      <c r="AO270" t="s">
        <v>5018</v>
      </c>
      <c r="AP270" t="s">
        <v>16</v>
      </c>
      <c r="AQ270" t="s">
        <v>16</v>
      </c>
      <c r="AR270" t="s">
        <v>5008</v>
      </c>
      <c r="AS270" t="s">
        <v>5019</v>
      </c>
      <c r="AT270" t="s">
        <v>318</v>
      </c>
      <c r="AU270">
        <v>2003</v>
      </c>
      <c r="AV270">
        <v>52</v>
      </c>
      <c r="AW270">
        <v>6</v>
      </c>
      <c r="AX270" t="s">
        <v>16</v>
      </c>
      <c r="AY270" t="s">
        <v>16</v>
      </c>
      <c r="AZ270" t="s">
        <v>16</v>
      </c>
      <c r="BA270" t="s">
        <v>16</v>
      </c>
      <c r="BB270">
        <v>609</v>
      </c>
      <c r="BC270">
        <v>621</v>
      </c>
      <c r="BD270" t="s">
        <v>16</v>
      </c>
      <c r="BE270" t="s">
        <v>16</v>
      </c>
      <c r="BF270" t="s">
        <v>16</v>
      </c>
      <c r="BG270" t="s">
        <v>16</v>
      </c>
      <c r="BH270" t="s">
        <v>16</v>
      </c>
      <c r="BI270">
        <v>13</v>
      </c>
      <c r="BJ270" t="s">
        <v>40</v>
      </c>
      <c r="BK270" t="s">
        <v>73</v>
      </c>
      <c r="BL270" t="s">
        <v>42</v>
      </c>
      <c r="BM270" t="s">
        <v>5020</v>
      </c>
      <c r="BN270" t="s">
        <v>16</v>
      </c>
      <c r="BO270" t="s">
        <v>16</v>
      </c>
      <c r="BP270" t="s">
        <v>16</v>
      </c>
      <c r="BQ270" t="s">
        <v>16</v>
      </c>
      <c r="BR270" t="s">
        <v>44</v>
      </c>
      <c r="BS270" t="s">
        <v>5021</v>
      </c>
      <c r="BT270" t="str">
        <f>HYPERLINK("https%3A%2F%2Fwww.webofscience.com%2Fwos%2Fwoscc%2Ffull-record%2FWOS:000221617500002","View Full Record in Web of Science")</f>
        <v>View Full Record in Web of Science</v>
      </c>
    </row>
    <row r="271" spans="1:72" x14ac:dyDescent="0.2">
      <c r="A271" t="s">
        <v>46</v>
      </c>
      <c r="B271" t="s">
        <v>5022</v>
      </c>
      <c r="C271" t="s">
        <v>16</v>
      </c>
      <c r="D271" t="s">
        <v>16</v>
      </c>
      <c r="E271" t="s">
        <v>16</v>
      </c>
      <c r="F271" t="s">
        <v>5023</v>
      </c>
      <c r="G271" t="s">
        <v>16</v>
      </c>
      <c r="H271" t="s">
        <v>16</v>
      </c>
      <c r="I271" t="s">
        <v>5024</v>
      </c>
      <c r="J271" t="s">
        <v>5025</v>
      </c>
      <c r="K271" t="s">
        <v>16</v>
      </c>
      <c r="L271" t="s">
        <v>16</v>
      </c>
      <c r="M271" t="s">
        <v>22</v>
      </c>
      <c r="N271" t="s">
        <v>51</v>
      </c>
      <c r="O271" t="s">
        <v>16</v>
      </c>
      <c r="P271" t="s">
        <v>16</v>
      </c>
      <c r="Q271" t="s">
        <v>16</v>
      </c>
      <c r="R271" t="s">
        <v>16</v>
      </c>
      <c r="S271" t="s">
        <v>16</v>
      </c>
      <c r="T271" t="s">
        <v>5026</v>
      </c>
      <c r="U271" t="s">
        <v>16</v>
      </c>
      <c r="V271" t="s">
        <v>5027</v>
      </c>
      <c r="W271" t="s">
        <v>5028</v>
      </c>
      <c r="X271" t="s">
        <v>5029</v>
      </c>
      <c r="Y271" t="s">
        <v>5030</v>
      </c>
      <c r="Z271" t="s">
        <v>5031</v>
      </c>
      <c r="AA271" t="s">
        <v>5032</v>
      </c>
      <c r="AB271" t="s">
        <v>5033</v>
      </c>
      <c r="AC271" t="s">
        <v>5034</v>
      </c>
      <c r="AD271" t="s">
        <v>5034</v>
      </c>
      <c r="AE271" t="s">
        <v>5035</v>
      </c>
      <c r="AF271" t="s">
        <v>16</v>
      </c>
      <c r="AG271">
        <v>31</v>
      </c>
      <c r="AH271">
        <v>3</v>
      </c>
      <c r="AI271">
        <v>3</v>
      </c>
      <c r="AJ271">
        <v>0</v>
      </c>
      <c r="AK271">
        <v>4</v>
      </c>
      <c r="AL271" t="s">
        <v>206</v>
      </c>
      <c r="AM271" t="s">
        <v>207</v>
      </c>
      <c r="AN271" t="s">
        <v>208</v>
      </c>
      <c r="AO271" t="s">
        <v>16</v>
      </c>
      <c r="AP271" t="s">
        <v>5036</v>
      </c>
      <c r="AQ271" t="s">
        <v>16</v>
      </c>
      <c r="AR271" t="s">
        <v>5037</v>
      </c>
      <c r="AS271" t="s">
        <v>5038</v>
      </c>
      <c r="AT271" t="s">
        <v>5039</v>
      </c>
      <c r="AU271">
        <v>2021</v>
      </c>
      <c r="AV271">
        <v>12</v>
      </c>
      <c r="AW271" t="s">
        <v>16</v>
      </c>
      <c r="AX271" t="s">
        <v>16</v>
      </c>
      <c r="AY271" t="s">
        <v>16</v>
      </c>
      <c r="AZ271" t="s">
        <v>16</v>
      </c>
      <c r="BA271" t="s">
        <v>16</v>
      </c>
      <c r="BB271" t="s">
        <v>16</v>
      </c>
      <c r="BC271" t="s">
        <v>16</v>
      </c>
      <c r="BD271">
        <v>624513</v>
      </c>
      <c r="BE271" t="s">
        <v>5040</v>
      </c>
      <c r="BF271" t="str">
        <f>HYPERLINK("http://dx.doi.org/10.3389/fgene.2021.624513","http://dx.doi.org/10.3389/fgene.2021.624513")</f>
        <v>http://dx.doi.org/10.3389/fgene.2021.624513</v>
      </c>
      <c r="BG271" t="s">
        <v>16</v>
      </c>
      <c r="BH271" t="s">
        <v>16</v>
      </c>
      <c r="BI271">
        <v>13</v>
      </c>
      <c r="BJ271" t="s">
        <v>339</v>
      </c>
      <c r="BK271" t="s">
        <v>73</v>
      </c>
      <c r="BL271" t="s">
        <v>339</v>
      </c>
      <c r="BM271" t="s">
        <v>5041</v>
      </c>
      <c r="BN271">
        <v>33613641</v>
      </c>
      <c r="BO271" t="s">
        <v>216</v>
      </c>
      <c r="BP271" t="s">
        <v>16</v>
      </c>
      <c r="BQ271" t="s">
        <v>16</v>
      </c>
      <c r="BR271" t="s">
        <v>44</v>
      </c>
      <c r="BS271" t="s">
        <v>5042</v>
      </c>
      <c r="BT271" t="str">
        <f>HYPERLINK("https%3A%2F%2Fwww.webofscience.com%2Fwos%2Fwoscc%2Ffull-record%2FWOS:000618537300001","View Full Record in Web of Science")</f>
        <v>View Full Record in Web of Science</v>
      </c>
    </row>
    <row r="272" spans="1:72" x14ac:dyDescent="0.2">
      <c r="A272" t="s">
        <v>46</v>
      </c>
      <c r="B272" t="s">
        <v>5043</v>
      </c>
      <c r="C272" t="s">
        <v>16</v>
      </c>
      <c r="D272" t="s">
        <v>16</v>
      </c>
      <c r="E272" t="s">
        <v>16</v>
      </c>
      <c r="F272" t="s">
        <v>5044</v>
      </c>
      <c r="G272" t="s">
        <v>16</v>
      </c>
      <c r="H272" t="s">
        <v>16</v>
      </c>
      <c r="I272" t="s">
        <v>5045</v>
      </c>
      <c r="J272" t="s">
        <v>734</v>
      </c>
      <c r="K272" t="s">
        <v>16</v>
      </c>
      <c r="L272" t="s">
        <v>16</v>
      </c>
      <c r="M272" t="s">
        <v>22</v>
      </c>
      <c r="N272" t="s">
        <v>51</v>
      </c>
      <c r="O272" t="s">
        <v>16</v>
      </c>
      <c r="P272" t="s">
        <v>16</v>
      </c>
      <c r="Q272" t="s">
        <v>16</v>
      </c>
      <c r="R272" t="s">
        <v>16</v>
      </c>
      <c r="S272" t="s">
        <v>16</v>
      </c>
      <c r="T272" t="s">
        <v>5046</v>
      </c>
      <c r="U272" t="s">
        <v>5047</v>
      </c>
      <c r="V272" t="s">
        <v>5048</v>
      </c>
      <c r="W272" t="s">
        <v>5049</v>
      </c>
      <c r="X272" t="s">
        <v>5050</v>
      </c>
      <c r="Y272" t="s">
        <v>5051</v>
      </c>
      <c r="Z272" t="s">
        <v>5052</v>
      </c>
      <c r="AA272" t="s">
        <v>5053</v>
      </c>
      <c r="AB272" t="s">
        <v>5054</v>
      </c>
      <c r="AC272" t="s">
        <v>5055</v>
      </c>
      <c r="AD272" t="s">
        <v>5056</v>
      </c>
      <c r="AE272" t="s">
        <v>5057</v>
      </c>
      <c r="AF272" t="s">
        <v>16</v>
      </c>
      <c r="AG272">
        <v>79</v>
      </c>
      <c r="AH272">
        <v>22</v>
      </c>
      <c r="AI272">
        <v>23</v>
      </c>
      <c r="AJ272">
        <v>0</v>
      </c>
      <c r="AK272">
        <v>7</v>
      </c>
      <c r="AL272" t="s">
        <v>745</v>
      </c>
      <c r="AM272" t="s">
        <v>746</v>
      </c>
      <c r="AN272" t="s">
        <v>747</v>
      </c>
      <c r="AO272" t="s">
        <v>748</v>
      </c>
      <c r="AP272" t="s">
        <v>16</v>
      </c>
      <c r="AQ272" t="s">
        <v>16</v>
      </c>
      <c r="AR272" t="s">
        <v>749</v>
      </c>
      <c r="AS272" t="s">
        <v>750</v>
      </c>
      <c r="AT272" t="s">
        <v>464</v>
      </c>
      <c r="AU272">
        <v>2018</v>
      </c>
      <c r="AV272">
        <v>8</v>
      </c>
      <c r="AW272">
        <v>5</v>
      </c>
      <c r="AX272" t="s">
        <v>16</v>
      </c>
      <c r="AY272" t="s">
        <v>16</v>
      </c>
      <c r="AZ272" t="s">
        <v>16</v>
      </c>
      <c r="BA272" t="s">
        <v>16</v>
      </c>
      <c r="BB272">
        <v>1721</v>
      </c>
      <c r="BC272">
        <v>1732</v>
      </c>
      <c r="BD272" t="s">
        <v>16</v>
      </c>
      <c r="BE272" t="s">
        <v>5058</v>
      </c>
      <c r="BF272" t="str">
        <f>HYPERLINK("http://dx.doi.org/10.1534/g3.118.200140","http://dx.doi.org/10.1534/g3.118.200140")</f>
        <v>http://dx.doi.org/10.1534/g3.118.200140</v>
      </c>
      <c r="BG272" t="s">
        <v>16</v>
      </c>
      <c r="BH272" t="s">
        <v>16</v>
      </c>
      <c r="BI272">
        <v>12</v>
      </c>
      <c r="BJ272" t="s">
        <v>339</v>
      </c>
      <c r="BK272" t="s">
        <v>73</v>
      </c>
      <c r="BL272" t="s">
        <v>339</v>
      </c>
      <c r="BM272" t="s">
        <v>5059</v>
      </c>
      <c r="BN272">
        <v>29559536</v>
      </c>
      <c r="BO272" t="s">
        <v>216</v>
      </c>
      <c r="BP272" t="s">
        <v>16</v>
      </c>
      <c r="BQ272" t="s">
        <v>16</v>
      </c>
      <c r="BR272" t="s">
        <v>44</v>
      </c>
      <c r="BS272" t="s">
        <v>5060</v>
      </c>
      <c r="BT272" t="str">
        <f>HYPERLINK("https%3A%2F%2Fwww.webofscience.com%2Fwos%2Fwoscc%2Ffull-record%2FWOS:000432188000032","View Full Record in Web of Science")</f>
        <v>View Full Record in Web of Science</v>
      </c>
    </row>
    <row r="273" spans="1:72" x14ac:dyDescent="0.2">
      <c r="A273" t="s">
        <v>46</v>
      </c>
      <c r="B273" t="s">
        <v>5061</v>
      </c>
      <c r="C273" t="s">
        <v>16</v>
      </c>
      <c r="D273" t="s">
        <v>16</v>
      </c>
      <c r="E273" t="s">
        <v>16</v>
      </c>
      <c r="F273" t="s">
        <v>5061</v>
      </c>
      <c r="G273" t="s">
        <v>16</v>
      </c>
      <c r="H273" t="s">
        <v>16</v>
      </c>
      <c r="I273" t="s">
        <v>5062</v>
      </c>
      <c r="J273" t="s">
        <v>220</v>
      </c>
      <c r="K273" t="s">
        <v>16</v>
      </c>
      <c r="L273" t="s">
        <v>16</v>
      </c>
      <c r="M273" t="s">
        <v>22</v>
      </c>
      <c r="N273" t="s">
        <v>51</v>
      </c>
      <c r="O273" t="s">
        <v>16</v>
      </c>
      <c r="P273" t="s">
        <v>16</v>
      </c>
      <c r="Q273" t="s">
        <v>16</v>
      </c>
      <c r="R273" t="s">
        <v>16</v>
      </c>
      <c r="S273" t="s">
        <v>16</v>
      </c>
      <c r="T273" t="s">
        <v>5063</v>
      </c>
      <c r="U273" t="s">
        <v>5064</v>
      </c>
      <c r="V273" t="s">
        <v>5065</v>
      </c>
      <c r="W273" t="s">
        <v>5066</v>
      </c>
      <c r="X273" t="s">
        <v>5067</v>
      </c>
      <c r="Y273" t="s">
        <v>16</v>
      </c>
      <c r="Z273" t="s">
        <v>16</v>
      </c>
      <c r="AA273" t="s">
        <v>5068</v>
      </c>
      <c r="AB273" t="s">
        <v>5069</v>
      </c>
      <c r="AC273" t="s">
        <v>16</v>
      </c>
      <c r="AD273" t="s">
        <v>16</v>
      </c>
      <c r="AE273" t="s">
        <v>16</v>
      </c>
      <c r="AF273" t="s">
        <v>16</v>
      </c>
      <c r="AG273">
        <v>46</v>
      </c>
      <c r="AH273">
        <v>1</v>
      </c>
      <c r="AI273">
        <v>1</v>
      </c>
      <c r="AJ273">
        <v>0</v>
      </c>
      <c r="AK273">
        <v>5</v>
      </c>
      <c r="AL273" t="s">
        <v>128</v>
      </c>
      <c r="AM273" t="s">
        <v>225</v>
      </c>
      <c r="AN273" t="s">
        <v>357</v>
      </c>
      <c r="AO273" t="s">
        <v>227</v>
      </c>
      <c r="AP273" t="s">
        <v>700</v>
      </c>
      <c r="AQ273" t="s">
        <v>16</v>
      </c>
      <c r="AR273" t="s">
        <v>220</v>
      </c>
      <c r="AS273" t="s">
        <v>228</v>
      </c>
      <c r="AT273" t="s">
        <v>16</v>
      </c>
      <c r="AU273">
        <v>1993</v>
      </c>
      <c r="AV273">
        <v>72</v>
      </c>
      <c r="AW273" t="s">
        <v>1296</v>
      </c>
      <c r="AX273" t="s">
        <v>16</v>
      </c>
      <c r="AY273" t="s">
        <v>16</v>
      </c>
      <c r="AZ273" t="s">
        <v>16</v>
      </c>
      <c r="BA273" t="s">
        <v>16</v>
      </c>
      <c r="BB273">
        <v>73</v>
      </c>
      <c r="BC273">
        <v>85</v>
      </c>
      <c r="BD273" t="s">
        <v>16</v>
      </c>
      <c r="BE273" t="s">
        <v>16</v>
      </c>
      <c r="BF273" t="s">
        <v>16</v>
      </c>
      <c r="BG273" t="s">
        <v>16</v>
      </c>
      <c r="BH273" t="s">
        <v>16</v>
      </c>
      <c r="BI273">
        <v>13</v>
      </c>
      <c r="BJ273" t="s">
        <v>296</v>
      </c>
      <c r="BK273" t="s">
        <v>73</v>
      </c>
      <c r="BL273" t="s">
        <v>94</v>
      </c>
      <c r="BM273" t="s">
        <v>5070</v>
      </c>
      <c r="BN273" t="s">
        <v>16</v>
      </c>
      <c r="BO273" t="s">
        <v>16</v>
      </c>
      <c r="BP273" t="s">
        <v>16</v>
      </c>
      <c r="BQ273" t="s">
        <v>16</v>
      </c>
      <c r="BR273" t="s">
        <v>44</v>
      </c>
      <c r="BS273" t="s">
        <v>5071</v>
      </c>
      <c r="BT273" t="str">
        <f>HYPERLINK("https%3A%2F%2Fwww.webofscience.com%2Fwos%2Fwoscc%2Ffull-record%2FWOS:A1993NH18700010","View Full Record in Web of Science")</f>
        <v>View Full Record in Web of Science</v>
      </c>
    </row>
    <row r="274" spans="1:72" x14ac:dyDescent="0.2">
      <c r="A274" t="s">
        <v>46</v>
      </c>
      <c r="B274" t="s">
        <v>5072</v>
      </c>
      <c r="C274" t="s">
        <v>16</v>
      </c>
      <c r="D274" t="s">
        <v>16</v>
      </c>
      <c r="E274" t="s">
        <v>16</v>
      </c>
      <c r="F274" t="s">
        <v>5073</v>
      </c>
      <c r="G274" t="s">
        <v>16</v>
      </c>
      <c r="H274" t="s">
        <v>16</v>
      </c>
      <c r="I274" t="s">
        <v>5074</v>
      </c>
      <c r="J274" t="s">
        <v>5075</v>
      </c>
      <c r="K274" t="s">
        <v>16</v>
      </c>
      <c r="L274" t="s">
        <v>16</v>
      </c>
      <c r="M274" t="s">
        <v>22</v>
      </c>
      <c r="N274" t="s">
        <v>118</v>
      </c>
      <c r="O274" t="s">
        <v>16</v>
      </c>
      <c r="P274" t="s">
        <v>16</v>
      </c>
      <c r="Q274" t="s">
        <v>16</v>
      </c>
      <c r="R274" t="s">
        <v>16</v>
      </c>
      <c r="S274" t="s">
        <v>16</v>
      </c>
      <c r="T274" t="s">
        <v>5076</v>
      </c>
      <c r="U274" t="s">
        <v>5077</v>
      </c>
      <c r="V274" t="s">
        <v>5078</v>
      </c>
      <c r="W274" t="s">
        <v>5079</v>
      </c>
      <c r="X274" t="s">
        <v>5080</v>
      </c>
      <c r="Y274" t="s">
        <v>5081</v>
      </c>
      <c r="Z274" t="s">
        <v>5082</v>
      </c>
      <c r="AA274" t="s">
        <v>5083</v>
      </c>
      <c r="AB274" t="s">
        <v>5084</v>
      </c>
      <c r="AC274" t="s">
        <v>5085</v>
      </c>
      <c r="AD274" t="s">
        <v>5086</v>
      </c>
      <c r="AE274" t="s">
        <v>5087</v>
      </c>
      <c r="AF274" t="s">
        <v>16</v>
      </c>
      <c r="AG274">
        <v>168</v>
      </c>
      <c r="AH274">
        <v>58</v>
      </c>
      <c r="AI274">
        <v>67</v>
      </c>
      <c r="AJ274">
        <v>3</v>
      </c>
      <c r="AK274">
        <v>235</v>
      </c>
      <c r="AL274" t="s">
        <v>2154</v>
      </c>
      <c r="AM274" t="s">
        <v>721</v>
      </c>
      <c r="AN274" t="s">
        <v>2155</v>
      </c>
      <c r="AO274" t="s">
        <v>5088</v>
      </c>
      <c r="AP274" t="s">
        <v>5089</v>
      </c>
      <c r="AQ274" t="s">
        <v>16</v>
      </c>
      <c r="AR274" t="s">
        <v>5090</v>
      </c>
      <c r="AS274" t="s">
        <v>5091</v>
      </c>
      <c r="AT274" t="s">
        <v>187</v>
      </c>
      <c r="AU274">
        <v>2014</v>
      </c>
      <c r="AV274">
        <v>32</v>
      </c>
      <c r="AW274">
        <v>1</v>
      </c>
      <c r="AX274" t="s">
        <v>16</v>
      </c>
      <c r="AY274" t="s">
        <v>16</v>
      </c>
      <c r="AZ274" t="s">
        <v>188</v>
      </c>
      <c r="BA274" t="s">
        <v>16</v>
      </c>
      <c r="BB274">
        <v>53</v>
      </c>
      <c r="BC274">
        <v>65</v>
      </c>
      <c r="BD274" t="s">
        <v>16</v>
      </c>
      <c r="BE274" t="s">
        <v>5092</v>
      </c>
      <c r="BF274" t="str">
        <f>HYPERLINK("http://dx.doi.org/10.1016/j.biotechadv.2013.08.019","http://dx.doi.org/10.1016/j.biotechadv.2013.08.019")</f>
        <v>http://dx.doi.org/10.1016/j.biotechadv.2013.08.019</v>
      </c>
      <c r="BG274" t="s">
        <v>16</v>
      </c>
      <c r="BH274" t="s">
        <v>16</v>
      </c>
      <c r="BI274">
        <v>13</v>
      </c>
      <c r="BJ274" t="s">
        <v>5093</v>
      </c>
      <c r="BK274" t="s">
        <v>73</v>
      </c>
      <c r="BL274" t="s">
        <v>5093</v>
      </c>
      <c r="BM274" t="s">
        <v>5094</v>
      </c>
      <c r="BN274">
        <v>24012600</v>
      </c>
      <c r="BO274" t="s">
        <v>16</v>
      </c>
      <c r="BP274" t="s">
        <v>16</v>
      </c>
      <c r="BQ274" t="s">
        <v>16</v>
      </c>
      <c r="BR274" t="s">
        <v>44</v>
      </c>
      <c r="BS274" t="s">
        <v>5095</v>
      </c>
      <c r="BT274" t="str">
        <f>HYPERLINK("https%3A%2F%2Fwww.webofscience.com%2Fwos%2Fwoscc%2Ffull-record%2FWOS:000332051500006","View Full Record in Web of Science")</f>
        <v>View Full Record in Web of Science</v>
      </c>
    </row>
    <row r="275" spans="1:72" x14ac:dyDescent="0.2">
      <c r="A275" t="s">
        <v>46</v>
      </c>
      <c r="B275" t="s">
        <v>5096</v>
      </c>
      <c r="C275" t="s">
        <v>16</v>
      </c>
      <c r="D275" t="s">
        <v>16</v>
      </c>
      <c r="E275" t="s">
        <v>16</v>
      </c>
      <c r="F275" t="s">
        <v>5097</v>
      </c>
      <c r="G275" t="s">
        <v>16</v>
      </c>
      <c r="H275" t="s">
        <v>16</v>
      </c>
      <c r="I275" t="s">
        <v>5098</v>
      </c>
      <c r="J275" t="s">
        <v>5099</v>
      </c>
      <c r="K275" t="s">
        <v>16</v>
      </c>
      <c r="L275" t="s">
        <v>16</v>
      </c>
      <c r="M275" t="s">
        <v>22</v>
      </c>
      <c r="N275" t="s">
        <v>51</v>
      </c>
      <c r="O275" t="s">
        <v>16</v>
      </c>
      <c r="P275" t="s">
        <v>16</v>
      </c>
      <c r="Q275" t="s">
        <v>16</v>
      </c>
      <c r="R275" t="s">
        <v>16</v>
      </c>
      <c r="S275" t="s">
        <v>16</v>
      </c>
      <c r="T275" t="s">
        <v>5100</v>
      </c>
      <c r="U275" t="s">
        <v>5101</v>
      </c>
      <c r="V275" t="s">
        <v>5102</v>
      </c>
      <c r="W275" t="s">
        <v>5103</v>
      </c>
      <c r="X275" t="s">
        <v>5104</v>
      </c>
      <c r="Y275" t="s">
        <v>5105</v>
      </c>
      <c r="Z275" t="s">
        <v>5106</v>
      </c>
      <c r="AA275" t="s">
        <v>5107</v>
      </c>
      <c r="AB275" t="s">
        <v>5108</v>
      </c>
      <c r="AC275" t="s">
        <v>5109</v>
      </c>
      <c r="AD275" t="s">
        <v>5110</v>
      </c>
      <c r="AE275" t="s">
        <v>5111</v>
      </c>
      <c r="AF275" t="s">
        <v>16</v>
      </c>
      <c r="AG275">
        <v>62</v>
      </c>
      <c r="AH275">
        <v>0</v>
      </c>
      <c r="AI275">
        <v>0</v>
      </c>
      <c r="AJ275">
        <v>0</v>
      </c>
      <c r="AK275">
        <v>0</v>
      </c>
      <c r="AL275" t="s">
        <v>5112</v>
      </c>
      <c r="AM275" t="s">
        <v>5113</v>
      </c>
      <c r="AN275" t="s">
        <v>5114</v>
      </c>
      <c r="AO275" t="s">
        <v>5115</v>
      </c>
      <c r="AP275" t="s">
        <v>5116</v>
      </c>
      <c r="AQ275" t="s">
        <v>16</v>
      </c>
      <c r="AR275" t="s">
        <v>5117</v>
      </c>
      <c r="AS275" t="s">
        <v>5118</v>
      </c>
      <c r="AT275" t="s">
        <v>135</v>
      </c>
      <c r="AU275">
        <v>2024</v>
      </c>
      <c r="AV275">
        <v>80</v>
      </c>
      <c r="AW275">
        <v>11</v>
      </c>
      <c r="AX275" t="s">
        <v>16</v>
      </c>
      <c r="AY275" t="s">
        <v>16</v>
      </c>
      <c r="AZ275" t="s">
        <v>16</v>
      </c>
      <c r="BA275" t="s">
        <v>16</v>
      </c>
      <c r="BB275">
        <v>5887</v>
      </c>
      <c r="BC275">
        <v>5897</v>
      </c>
      <c r="BD275" t="s">
        <v>16</v>
      </c>
      <c r="BE275" t="s">
        <v>5119</v>
      </c>
      <c r="BF275" t="str">
        <f>HYPERLINK("http://dx.doi.org/10.1002/ps.8319","http://dx.doi.org/10.1002/ps.8319")</f>
        <v>http://dx.doi.org/10.1002/ps.8319</v>
      </c>
      <c r="BG275" t="s">
        <v>16</v>
      </c>
      <c r="BH275" t="s">
        <v>5120</v>
      </c>
      <c r="BI275">
        <v>11</v>
      </c>
      <c r="BJ275" t="s">
        <v>296</v>
      </c>
      <c r="BK275" t="s">
        <v>73</v>
      </c>
      <c r="BL275" t="s">
        <v>5121</v>
      </c>
      <c r="BM275" t="s">
        <v>5122</v>
      </c>
      <c r="BN275">
        <v>39036897</v>
      </c>
      <c r="BO275" t="s">
        <v>772</v>
      </c>
      <c r="BP275" t="s">
        <v>16</v>
      </c>
      <c r="BQ275" t="s">
        <v>16</v>
      </c>
      <c r="BR275" t="s">
        <v>44</v>
      </c>
      <c r="BS275" t="s">
        <v>5123</v>
      </c>
      <c r="BT275" t="str">
        <f>HYPERLINK("https%3A%2F%2Fwww.webofscience.com%2Fwos%2Fwoscc%2Ffull-record%2FWOS:001273270700001","View Full Record in Web of Science")</f>
        <v>View Full Record in Web of Science</v>
      </c>
    </row>
    <row r="276" spans="1:72" x14ac:dyDescent="0.2">
      <c r="A276" t="s">
        <v>46</v>
      </c>
      <c r="B276" t="s">
        <v>5124</v>
      </c>
      <c r="C276" t="s">
        <v>16</v>
      </c>
      <c r="D276" t="s">
        <v>16</v>
      </c>
      <c r="E276" t="s">
        <v>16</v>
      </c>
      <c r="F276" t="s">
        <v>5125</v>
      </c>
      <c r="G276" t="s">
        <v>16</v>
      </c>
      <c r="H276" t="s">
        <v>16</v>
      </c>
      <c r="I276" t="s">
        <v>5126</v>
      </c>
      <c r="J276" t="s">
        <v>5127</v>
      </c>
      <c r="K276" t="s">
        <v>16</v>
      </c>
      <c r="L276" t="s">
        <v>16</v>
      </c>
      <c r="M276" t="s">
        <v>22</v>
      </c>
      <c r="N276" t="s">
        <v>51</v>
      </c>
      <c r="O276" t="s">
        <v>16</v>
      </c>
      <c r="P276" t="s">
        <v>16</v>
      </c>
      <c r="Q276" t="s">
        <v>16</v>
      </c>
      <c r="R276" t="s">
        <v>16</v>
      </c>
      <c r="S276" t="s">
        <v>16</v>
      </c>
      <c r="T276" t="s">
        <v>5128</v>
      </c>
      <c r="U276" t="s">
        <v>5129</v>
      </c>
      <c r="V276" t="s">
        <v>5130</v>
      </c>
      <c r="W276" t="s">
        <v>5131</v>
      </c>
      <c r="X276" t="s">
        <v>5132</v>
      </c>
      <c r="Y276" t="s">
        <v>5133</v>
      </c>
      <c r="Z276" t="s">
        <v>5134</v>
      </c>
      <c r="AA276" t="s">
        <v>5135</v>
      </c>
      <c r="AB276" t="s">
        <v>5136</v>
      </c>
      <c r="AC276" t="s">
        <v>5137</v>
      </c>
      <c r="AD276" t="s">
        <v>5138</v>
      </c>
      <c r="AE276" t="s">
        <v>5139</v>
      </c>
      <c r="AF276" t="s">
        <v>16</v>
      </c>
      <c r="AG276">
        <v>43</v>
      </c>
      <c r="AH276">
        <v>1</v>
      </c>
      <c r="AI276">
        <v>2</v>
      </c>
      <c r="AJ276">
        <v>10</v>
      </c>
      <c r="AK276">
        <v>24</v>
      </c>
      <c r="AL276" t="s">
        <v>569</v>
      </c>
      <c r="AM276" t="s">
        <v>570</v>
      </c>
      <c r="AN276" t="s">
        <v>571</v>
      </c>
      <c r="AO276" t="s">
        <v>5140</v>
      </c>
      <c r="AP276" t="s">
        <v>5141</v>
      </c>
      <c r="AQ276" t="s">
        <v>16</v>
      </c>
      <c r="AR276" t="s">
        <v>5127</v>
      </c>
      <c r="AS276" t="s">
        <v>5142</v>
      </c>
      <c r="AT276" t="s">
        <v>576</v>
      </c>
      <c r="AU276">
        <v>2023</v>
      </c>
      <c r="AV276">
        <v>17</v>
      </c>
      <c r="AW276">
        <v>10</v>
      </c>
      <c r="AX276" t="s">
        <v>16</v>
      </c>
      <c r="AY276" t="s">
        <v>16</v>
      </c>
      <c r="AZ276" t="s">
        <v>16</v>
      </c>
      <c r="BA276" t="s">
        <v>16</v>
      </c>
      <c r="BB276" t="s">
        <v>16</v>
      </c>
      <c r="BC276" t="s">
        <v>16</v>
      </c>
      <c r="BD276">
        <v>100980</v>
      </c>
      <c r="BE276" t="s">
        <v>5143</v>
      </c>
      <c r="BF276" t="str">
        <f>HYPERLINK("http://dx.doi.org/10.1016/j.animal.2023.100980","http://dx.doi.org/10.1016/j.animal.2023.100980")</f>
        <v>http://dx.doi.org/10.1016/j.animal.2023.100980</v>
      </c>
      <c r="BG276" t="s">
        <v>16</v>
      </c>
      <c r="BH276" t="s">
        <v>4423</v>
      </c>
      <c r="BI276">
        <v>14</v>
      </c>
      <c r="BJ276" t="s">
        <v>296</v>
      </c>
      <c r="BK276" t="s">
        <v>73</v>
      </c>
      <c r="BL276" t="s">
        <v>5144</v>
      </c>
      <c r="BM276" t="s">
        <v>5145</v>
      </c>
      <c r="BN276">
        <v>37797495</v>
      </c>
      <c r="BO276" t="s">
        <v>552</v>
      </c>
      <c r="BP276" t="s">
        <v>16</v>
      </c>
      <c r="BQ276" t="s">
        <v>16</v>
      </c>
      <c r="BR276" t="s">
        <v>44</v>
      </c>
      <c r="BS276" t="s">
        <v>5146</v>
      </c>
      <c r="BT276" t="str">
        <f>HYPERLINK("https%3A%2F%2Fwww.webofscience.com%2Fwos%2Fwoscc%2Ffull-record%2FWOS:001088560500001","View Full Record in Web of Science")</f>
        <v>View Full Record in Web of Science</v>
      </c>
    </row>
    <row r="277" spans="1:72" x14ac:dyDescent="0.2">
      <c r="A277" t="s">
        <v>46</v>
      </c>
      <c r="B277" t="s">
        <v>5147</v>
      </c>
      <c r="C277" t="s">
        <v>16</v>
      </c>
      <c r="D277" t="s">
        <v>16</v>
      </c>
      <c r="E277" t="s">
        <v>16</v>
      </c>
      <c r="F277" t="s">
        <v>5148</v>
      </c>
      <c r="G277" t="s">
        <v>16</v>
      </c>
      <c r="H277" t="s">
        <v>16</v>
      </c>
      <c r="I277" t="s">
        <v>5149</v>
      </c>
      <c r="J277" t="s">
        <v>557</v>
      </c>
      <c r="K277" t="s">
        <v>16</v>
      </c>
      <c r="L277" t="s">
        <v>16</v>
      </c>
      <c r="M277" t="s">
        <v>22</v>
      </c>
      <c r="N277" t="s">
        <v>51</v>
      </c>
      <c r="O277" t="s">
        <v>16</v>
      </c>
      <c r="P277" t="s">
        <v>16</v>
      </c>
      <c r="Q277" t="s">
        <v>16</v>
      </c>
      <c r="R277" t="s">
        <v>16</v>
      </c>
      <c r="S277" t="s">
        <v>16</v>
      </c>
      <c r="T277" t="s">
        <v>5150</v>
      </c>
      <c r="U277" t="s">
        <v>5151</v>
      </c>
      <c r="V277" t="s">
        <v>5152</v>
      </c>
      <c r="W277" t="s">
        <v>5153</v>
      </c>
      <c r="X277" t="s">
        <v>5154</v>
      </c>
      <c r="Y277" t="s">
        <v>5155</v>
      </c>
      <c r="Z277" t="s">
        <v>5156</v>
      </c>
      <c r="AA277" t="s">
        <v>5157</v>
      </c>
      <c r="AB277" t="s">
        <v>5158</v>
      </c>
      <c r="AC277" t="s">
        <v>16</v>
      </c>
      <c r="AD277" t="s">
        <v>16</v>
      </c>
      <c r="AE277" t="s">
        <v>16</v>
      </c>
      <c r="AF277" t="s">
        <v>16</v>
      </c>
      <c r="AG277">
        <v>46</v>
      </c>
      <c r="AH277">
        <v>10</v>
      </c>
      <c r="AI277">
        <v>11</v>
      </c>
      <c r="AJ277">
        <v>1</v>
      </c>
      <c r="AK277">
        <v>29</v>
      </c>
      <c r="AL277" t="s">
        <v>569</v>
      </c>
      <c r="AM277" t="s">
        <v>570</v>
      </c>
      <c r="AN277" t="s">
        <v>571</v>
      </c>
      <c r="AO277" t="s">
        <v>572</v>
      </c>
      <c r="AP277" t="s">
        <v>573</v>
      </c>
      <c r="AQ277" t="s">
        <v>16</v>
      </c>
      <c r="AR277" t="s">
        <v>574</v>
      </c>
      <c r="AS277" t="s">
        <v>575</v>
      </c>
      <c r="AT277" t="s">
        <v>812</v>
      </c>
      <c r="AU277">
        <v>2021</v>
      </c>
      <c r="AV277">
        <v>129</v>
      </c>
      <c r="AW277" t="s">
        <v>16</v>
      </c>
      <c r="AX277" t="s">
        <v>16</v>
      </c>
      <c r="AY277" t="s">
        <v>16</v>
      </c>
      <c r="AZ277" t="s">
        <v>16</v>
      </c>
      <c r="BA277" t="s">
        <v>16</v>
      </c>
      <c r="BB277" t="s">
        <v>16</v>
      </c>
      <c r="BC277" t="s">
        <v>16</v>
      </c>
      <c r="BD277">
        <v>126333</v>
      </c>
      <c r="BE277" t="s">
        <v>5159</v>
      </c>
      <c r="BF277" t="str">
        <f>HYPERLINK("http://dx.doi.org/10.1016/j.eja.2021.126333","http://dx.doi.org/10.1016/j.eja.2021.126333")</f>
        <v>http://dx.doi.org/10.1016/j.eja.2021.126333</v>
      </c>
      <c r="BG277" t="s">
        <v>16</v>
      </c>
      <c r="BH277" t="s">
        <v>5160</v>
      </c>
      <c r="BI277">
        <v>16</v>
      </c>
      <c r="BJ277" t="s">
        <v>40</v>
      </c>
      <c r="BK277" t="s">
        <v>73</v>
      </c>
      <c r="BL277" t="s">
        <v>42</v>
      </c>
      <c r="BM277" t="s">
        <v>5161</v>
      </c>
      <c r="BN277" t="s">
        <v>16</v>
      </c>
      <c r="BO277" t="s">
        <v>16</v>
      </c>
      <c r="BP277" t="s">
        <v>16</v>
      </c>
      <c r="BQ277" t="s">
        <v>16</v>
      </c>
      <c r="BR277" t="s">
        <v>44</v>
      </c>
      <c r="BS277" t="s">
        <v>5162</v>
      </c>
      <c r="BT277" t="str">
        <f>HYPERLINK("https%3A%2F%2Fwww.webofscience.com%2Fwos%2Fwoscc%2Ffull-record%2FWOS:000672763400002","View Full Record in Web of Science")</f>
        <v>View Full Record in Web of Science</v>
      </c>
    </row>
    <row r="278" spans="1:72" x14ac:dyDescent="0.2">
      <c r="A278" t="s">
        <v>46</v>
      </c>
      <c r="B278" t="s">
        <v>5163</v>
      </c>
      <c r="C278" t="s">
        <v>16</v>
      </c>
      <c r="D278" t="s">
        <v>16</v>
      </c>
      <c r="E278" t="s">
        <v>16</v>
      </c>
      <c r="F278" t="s">
        <v>5164</v>
      </c>
      <c r="G278" t="s">
        <v>16</v>
      </c>
      <c r="H278" t="s">
        <v>16</v>
      </c>
      <c r="I278" t="s">
        <v>5165</v>
      </c>
      <c r="J278" t="s">
        <v>197</v>
      </c>
      <c r="K278" t="s">
        <v>16</v>
      </c>
      <c r="L278" t="s">
        <v>16</v>
      </c>
      <c r="M278" t="s">
        <v>22</v>
      </c>
      <c r="N278" t="s">
        <v>51</v>
      </c>
      <c r="O278" t="s">
        <v>16</v>
      </c>
      <c r="P278" t="s">
        <v>16</v>
      </c>
      <c r="Q278" t="s">
        <v>16</v>
      </c>
      <c r="R278" t="s">
        <v>16</v>
      </c>
      <c r="S278" t="s">
        <v>16</v>
      </c>
      <c r="T278" t="s">
        <v>5166</v>
      </c>
      <c r="U278" t="s">
        <v>5167</v>
      </c>
      <c r="V278" t="s">
        <v>5168</v>
      </c>
      <c r="W278" t="s">
        <v>5169</v>
      </c>
      <c r="X278" t="s">
        <v>5170</v>
      </c>
      <c r="Y278" t="s">
        <v>5171</v>
      </c>
      <c r="Z278" t="s">
        <v>5172</v>
      </c>
      <c r="AA278" t="s">
        <v>5173</v>
      </c>
      <c r="AB278" t="s">
        <v>5174</v>
      </c>
      <c r="AC278" t="s">
        <v>5175</v>
      </c>
      <c r="AD278" t="s">
        <v>5176</v>
      </c>
      <c r="AE278" t="s">
        <v>5177</v>
      </c>
      <c r="AF278" t="s">
        <v>16</v>
      </c>
      <c r="AG278">
        <v>53</v>
      </c>
      <c r="AH278">
        <v>58</v>
      </c>
      <c r="AI278">
        <v>64</v>
      </c>
      <c r="AJ278">
        <v>4</v>
      </c>
      <c r="AK278">
        <v>34</v>
      </c>
      <c r="AL278" t="s">
        <v>206</v>
      </c>
      <c r="AM278" t="s">
        <v>207</v>
      </c>
      <c r="AN278" t="s">
        <v>208</v>
      </c>
      <c r="AO278" t="s">
        <v>209</v>
      </c>
      <c r="AP278" t="s">
        <v>16</v>
      </c>
      <c r="AQ278" t="s">
        <v>16</v>
      </c>
      <c r="AR278" t="s">
        <v>210</v>
      </c>
      <c r="AS278" t="s">
        <v>211</v>
      </c>
      <c r="AT278" t="s">
        <v>5178</v>
      </c>
      <c r="AU278">
        <v>2020</v>
      </c>
      <c r="AV278">
        <v>11</v>
      </c>
      <c r="AW278" t="s">
        <v>16</v>
      </c>
      <c r="AX278" t="s">
        <v>16</v>
      </c>
      <c r="AY278" t="s">
        <v>16</v>
      </c>
      <c r="AZ278" t="s">
        <v>16</v>
      </c>
      <c r="BA278" t="s">
        <v>16</v>
      </c>
      <c r="BB278" t="s">
        <v>16</v>
      </c>
      <c r="BC278" t="s">
        <v>16</v>
      </c>
      <c r="BD278">
        <v>19</v>
      </c>
      <c r="BE278" t="s">
        <v>5179</v>
      </c>
      <c r="BF278" t="str">
        <f>HYPERLINK("http://dx.doi.org/10.3389/fpls.2020.00019","http://dx.doi.org/10.3389/fpls.2020.00019")</f>
        <v>http://dx.doi.org/10.3389/fpls.2020.00019</v>
      </c>
      <c r="BG278" t="s">
        <v>16</v>
      </c>
      <c r="BH278" t="s">
        <v>16</v>
      </c>
      <c r="BI278">
        <v>17</v>
      </c>
      <c r="BJ278" t="s">
        <v>214</v>
      </c>
      <c r="BK278" t="s">
        <v>73</v>
      </c>
      <c r="BL278" t="s">
        <v>214</v>
      </c>
      <c r="BM278" t="s">
        <v>5180</v>
      </c>
      <c r="BN278">
        <v>32180776</v>
      </c>
      <c r="BO278" t="s">
        <v>216</v>
      </c>
      <c r="BP278" t="s">
        <v>16</v>
      </c>
      <c r="BQ278" t="s">
        <v>16</v>
      </c>
      <c r="BR278" t="s">
        <v>44</v>
      </c>
      <c r="BS278" t="s">
        <v>5181</v>
      </c>
      <c r="BT278" t="str">
        <f>HYPERLINK("https%3A%2F%2Fwww.webofscience.com%2Fwos%2Fwoscc%2Ffull-record%2FWOS:000524666200001","View Full Record in Web of Science")</f>
        <v>View Full Record in Web of Science</v>
      </c>
    </row>
    <row r="279" spans="1:72" x14ac:dyDescent="0.2">
      <c r="A279" t="s">
        <v>46</v>
      </c>
      <c r="B279" t="s">
        <v>5182</v>
      </c>
      <c r="C279" t="s">
        <v>16</v>
      </c>
      <c r="D279" t="s">
        <v>16</v>
      </c>
      <c r="E279" t="s">
        <v>16</v>
      </c>
      <c r="F279" t="s">
        <v>5183</v>
      </c>
      <c r="G279" t="s">
        <v>16</v>
      </c>
      <c r="H279" t="s">
        <v>16</v>
      </c>
      <c r="I279" t="s">
        <v>5184</v>
      </c>
      <c r="J279" t="s">
        <v>197</v>
      </c>
      <c r="K279" t="s">
        <v>16</v>
      </c>
      <c r="L279" t="s">
        <v>16</v>
      </c>
      <c r="M279" t="s">
        <v>22</v>
      </c>
      <c r="N279" t="s">
        <v>51</v>
      </c>
      <c r="O279" t="s">
        <v>16</v>
      </c>
      <c r="P279" t="s">
        <v>16</v>
      </c>
      <c r="Q279" t="s">
        <v>16</v>
      </c>
      <c r="R279" t="s">
        <v>16</v>
      </c>
      <c r="S279" t="s">
        <v>16</v>
      </c>
      <c r="T279" t="s">
        <v>5185</v>
      </c>
      <c r="U279" t="s">
        <v>5186</v>
      </c>
      <c r="V279" t="s">
        <v>5187</v>
      </c>
      <c r="W279" t="s">
        <v>5188</v>
      </c>
      <c r="X279" t="s">
        <v>5189</v>
      </c>
      <c r="Y279" t="s">
        <v>5190</v>
      </c>
      <c r="Z279" t="s">
        <v>5191</v>
      </c>
      <c r="AA279" t="s">
        <v>16</v>
      </c>
      <c r="AB279" t="s">
        <v>16</v>
      </c>
      <c r="AC279" t="s">
        <v>5192</v>
      </c>
      <c r="AD279" t="s">
        <v>5193</v>
      </c>
      <c r="AE279" t="s">
        <v>5194</v>
      </c>
      <c r="AF279" t="s">
        <v>16</v>
      </c>
      <c r="AG279">
        <v>81</v>
      </c>
      <c r="AH279">
        <v>9</v>
      </c>
      <c r="AI279">
        <v>10</v>
      </c>
      <c r="AJ279">
        <v>0</v>
      </c>
      <c r="AK279">
        <v>11</v>
      </c>
      <c r="AL279" t="s">
        <v>206</v>
      </c>
      <c r="AM279" t="s">
        <v>207</v>
      </c>
      <c r="AN279" t="s">
        <v>208</v>
      </c>
      <c r="AO279" t="s">
        <v>209</v>
      </c>
      <c r="AP279" t="s">
        <v>16</v>
      </c>
      <c r="AQ279" t="s">
        <v>16</v>
      </c>
      <c r="AR279" t="s">
        <v>210</v>
      </c>
      <c r="AS279" t="s">
        <v>211</v>
      </c>
      <c r="AT279" t="s">
        <v>5195</v>
      </c>
      <c r="AU279">
        <v>2017</v>
      </c>
      <c r="AV279">
        <v>7</v>
      </c>
      <c r="AW279" t="s">
        <v>16</v>
      </c>
      <c r="AX279" t="s">
        <v>16</v>
      </c>
      <c r="AY279" t="s">
        <v>16</v>
      </c>
      <c r="AZ279" t="s">
        <v>16</v>
      </c>
      <c r="BA279" t="s">
        <v>16</v>
      </c>
      <c r="BB279" t="s">
        <v>16</v>
      </c>
      <c r="BC279" t="s">
        <v>16</v>
      </c>
      <c r="BD279">
        <v>2065</v>
      </c>
      <c r="BE279" t="s">
        <v>5196</v>
      </c>
      <c r="BF279" t="str">
        <f>HYPERLINK("http://dx.doi.org/10.3389/fpls.2016.02065","http://dx.doi.org/10.3389/fpls.2016.02065")</f>
        <v>http://dx.doi.org/10.3389/fpls.2016.02065</v>
      </c>
      <c r="BG279" t="s">
        <v>16</v>
      </c>
      <c r="BH279" t="s">
        <v>16</v>
      </c>
      <c r="BI279">
        <v>14</v>
      </c>
      <c r="BJ279" t="s">
        <v>214</v>
      </c>
      <c r="BK279" t="s">
        <v>73</v>
      </c>
      <c r="BL279" t="s">
        <v>214</v>
      </c>
      <c r="BM279" t="s">
        <v>5197</v>
      </c>
      <c r="BN279">
        <v>28127302</v>
      </c>
      <c r="BO279" t="s">
        <v>216</v>
      </c>
      <c r="BP279" t="s">
        <v>16</v>
      </c>
      <c r="BQ279" t="s">
        <v>16</v>
      </c>
      <c r="BR279" t="s">
        <v>44</v>
      </c>
      <c r="BS279" t="s">
        <v>5198</v>
      </c>
      <c r="BT279" t="str">
        <f>HYPERLINK("https%3A%2F%2Fwww.webofscience.com%2Fwos%2Fwoscc%2Ffull-record%2FWOS:000391877900001","View Full Record in Web of Science")</f>
        <v>View Full Record in Web of Science</v>
      </c>
    </row>
    <row r="280" spans="1:72" x14ac:dyDescent="0.2">
      <c r="A280" t="s">
        <v>46</v>
      </c>
      <c r="B280" t="s">
        <v>5199</v>
      </c>
      <c r="C280" t="s">
        <v>16</v>
      </c>
      <c r="D280" t="s">
        <v>16</v>
      </c>
      <c r="E280" t="s">
        <v>16</v>
      </c>
      <c r="F280" t="s">
        <v>5199</v>
      </c>
      <c r="G280" t="s">
        <v>16</v>
      </c>
      <c r="H280" t="s">
        <v>16</v>
      </c>
      <c r="I280" t="s">
        <v>5200</v>
      </c>
      <c r="J280" t="s">
        <v>5201</v>
      </c>
      <c r="K280" t="s">
        <v>16</v>
      </c>
      <c r="L280" t="s">
        <v>16</v>
      </c>
      <c r="M280" t="s">
        <v>22</v>
      </c>
      <c r="N280" t="s">
        <v>118</v>
      </c>
      <c r="O280" t="s">
        <v>16</v>
      </c>
      <c r="P280" t="s">
        <v>16</v>
      </c>
      <c r="Q280" t="s">
        <v>16</v>
      </c>
      <c r="R280" t="s">
        <v>16</v>
      </c>
      <c r="S280" t="s">
        <v>16</v>
      </c>
      <c r="T280" t="s">
        <v>5202</v>
      </c>
      <c r="U280" t="s">
        <v>5203</v>
      </c>
      <c r="V280" t="s">
        <v>5204</v>
      </c>
      <c r="W280" t="s">
        <v>5205</v>
      </c>
      <c r="X280" t="s">
        <v>5206</v>
      </c>
      <c r="Y280" t="s">
        <v>5207</v>
      </c>
      <c r="Z280" t="s">
        <v>16</v>
      </c>
      <c r="AA280" t="s">
        <v>16</v>
      </c>
      <c r="AB280" t="s">
        <v>16</v>
      </c>
      <c r="AC280" t="s">
        <v>16</v>
      </c>
      <c r="AD280" t="s">
        <v>16</v>
      </c>
      <c r="AE280" t="s">
        <v>16</v>
      </c>
      <c r="AF280" t="s">
        <v>16</v>
      </c>
      <c r="AG280">
        <v>155</v>
      </c>
      <c r="AH280">
        <v>150</v>
      </c>
      <c r="AI280">
        <v>174</v>
      </c>
      <c r="AJ280">
        <v>0</v>
      </c>
      <c r="AK280">
        <v>17</v>
      </c>
      <c r="AL280" t="s">
        <v>745</v>
      </c>
      <c r="AM280" t="s">
        <v>746</v>
      </c>
      <c r="AN280" t="s">
        <v>747</v>
      </c>
      <c r="AO280" t="s">
        <v>5208</v>
      </c>
      <c r="AP280" t="s">
        <v>5209</v>
      </c>
      <c r="AQ280" t="s">
        <v>16</v>
      </c>
      <c r="AR280" t="s">
        <v>5210</v>
      </c>
      <c r="AS280" t="s">
        <v>5211</v>
      </c>
      <c r="AT280" t="s">
        <v>1533</v>
      </c>
      <c r="AU280">
        <v>1996</v>
      </c>
      <c r="AV280">
        <v>42</v>
      </c>
      <c r="AW280">
        <v>1</v>
      </c>
      <c r="AX280" t="s">
        <v>16</v>
      </c>
      <c r="AY280" t="s">
        <v>16</v>
      </c>
      <c r="AZ280" t="s">
        <v>16</v>
      </c>
      <c r="BA280" t="s">
        <v>16</v>
      </c>
      <c r="BB280">
        <v>102</v>
      </c>
      <c r="BC280">
        <v>117</v>
      </c>
      <c r="BD280" t="s">
        <v>16</v>
      </c>
      <c r="BE280" t="s">
        <v>16</v>
      </c>
      <c r="BF280" t="s">
        <v>16</v>
      </c>
      <c r="BG280" t="s">
        <v>16</v>
      </c>
      <c r="BH280" t="s">
        <v>16</v>
      </c>
      <c r="BI280">
        <v>16</v>
      </c>
      <c r="BJ280" t="s">
        <v>5212</v>
      </c>
      <c r="BK280" t="s">
        <v>73</v>
      </c>
      <c r="BL280" t="s">
        <v>5212</v>
      </c>
      <c r="BM280" t="s">
        <v>5213</v>
      </c>
      <c r="BN280" t="s">
        <v>16</v>
      </c>
      <c r="BO280" t="s">
        <v>16</v>
      </c>
      <c r="BP280" t="s">
        <v>16</v>
      </c>
      <c r="BQ280" t="s">
        <v>16</v>
      </c>
      <c r="BR280" t="s">
        <v>44</v>
      </c>
      <c r="BS280" t="s">
        <v>5214</v>
      </c>
      <c r="BT280" t="str">
        <f>HYPERLINK("https%3A%2F%2Fwww.webofscience.com%2Fwos%2Fwoscc%2Ffull-record%2FWOS:A1996TU85300012","View Full Record in Web of Science")</f>
        <v>View Full Record in Web of Science</v>
      </c>
    </row>
    <row r="281" spans="1:72" x14ac:dyDescent="0.2">
      <c r="A281" t="s">
        <v>46</v>
      </c>
      <c r="B281" t="s">
        <v>5215</v>
      </c>
      <c r="C281" t="s">
        <v>16</v>
      </c>
      <c r="D281" t="s">
        <v>16</v>
      </c>
      <c r="E281" t="s">
        <v>16</v>
      </c>
      <c r="F281" t="s">
        <v>5216</v>
      </c>
      <c r="G281" t="s">
        <v>16</v>
      </c>
      <c r="H281" t="s">
        <v>16</v>
      </c>
      <c r="I281" t="s">
        <v>5217</v>
      </c>
      <c r="J281" t="s">
        <v>220</v>
      </c>
      <c r="K281" t="s">
        <v>16</v>
      </c>
      <c r="L281" t="s">
        <v>16</v>
      </c>
      <c r="M281" t="s">
        <v>22</v>
      </c>
      <c r="N281" t="s">
        <v>51</v>
      </c>
      <c r="O281" t="s">
        <v>16</v>
      </c>
      <c r="P281" t="s">
        <v>16</v>
      </c>
      <c r="Q281" t="s">
        <v>16</v>
      </c>
      <c r="R281" t="s">
        <v>16</v>
      </c>
      <c r="S281" t="s">
        <v>16</v>
      </c>
      <c r="T281" t="s">
        <v>5218</v>
      </c>
      <c r="U281" t="s">
        <v>5219</v>
      </c>
      <c r="V281" t="s">
        <v>5220</v>
      </c>
      <c r="W281" t="s">
        <v>5221</v>
      </c>
      <c r="X281" t="s">
        <v>5222</v>
      </c>
      <c r="Y281" t="s">
        <v>5223</v>
      </c>
      <c r="Z281" t="s">
        <v>260</v>
      </c>
      <c r="AA281" t="s">
        <v>5224</v>
      </c>
      <c r="AB281" t="s">
        <v>5225</v>
      </c>
      <c r="AC281" t="s">
        <v>16</v>
      </c>
      <c r="AD281" t="s">
        <v>16</v>
      </c>
      <c r="AE281" t="s">
        <v>16</v>
      </c>
      <c r="AF281" t="s">
        <v>16</v>
      </c>
      <c r="AG281">
        <v>48</v>
      </c>
      <c r="AH281">
        <v>53</v>
      </c>
      <c r="AI281">
        <v>55</v>
      </c>
      <c r="AJ281">
        <v>0</v>
      </c>
      <c r="AK281">
        <v>34</v>
      </c>
      <c r="AL281" t="s">
        <v>128</v>
      </c>
      <c r="AM281" t="s">
        <v>225</v>
      </c>
      <c r="AN281" t="s">
        <v>357</v>
      </c>
      <c r="AO281" t="s">
        <v>227</v>
      </c>
      <c r="AP281" t="s">
        <v>700</v>
      </c>
      <c r="AQ281" t="s">
        <v>16</v>
      </c>
      <c r="AR281" t="s">
        <v>220</v>
      </c>
      <c r="AS281" t="s">
        <v>228</v>
      </c>
      <c r="AT281" t="s">
        <v>419</v>
      </c>
      <c r="AU281">
        <v>2008</v>
      </c>
      <c r="AV281">
        <v>162</v>
      </c>
      <c r="AW281">
        <v>3</v>
      </c>
      <c r="AX281" t="s">
        <v>16</v>
      </c>
      <c r="AY281" t="s">
        <v>16</v>
      </c>
      <c r="AZ281" t="s">
        <v>16</v>
      </c>
      <c r="BA281" t="s">
        <v>16</v>
      </c>
      <c r="BB281">
        <v>395</v>
      </c>
      <c r="BC281">
        <v>410</v>
      </c>
      <c r="BD281" t="s">
        <v>16</v>
      </c>
      <c r="BE281" t="s">
        <v>5226</v>
      </c>
      <c r="BF281" t="str">
        <f>HYPERLINK("http://dx.doi.org/10.1007/s10681-007-9579-z","http://dx.doi.org/10.1007/s10681-007-9579-z")</f>
        <v>http://dx.doi.org/10.1007/s10681-007-9579-z</v>
      </c>
      <c r="BG281" t="s">
        <v>16</v>
      </c>
      <c r="BH281" t="s">
        <v>16</v>
      </c>
      <c r="BI281">
        <v>16</v>
      </c>
      <c r="BJ281" t="s">
        <v>296</v>
      </c>
      <c r="BK281" t="s">
        <v>73</v>
      </c>
      <c r="BL281" t="s">
        <v>94</v>
      </c>
      <c r="BM281" t="s">
        <v>5227</v>
      </c>
      <c r="BN281" t="s">
        <v>16</v>
      </c>
      <c r="BO281" t="s">
        <v>16</v>
      </c>
      <c r="BP281" t="s">
        <v>16</v>
      </c>
      <c r="BQ281" t="s">
        <v>16</v>
      </c>
      <c r="BR281" t="s">
        <v>44</v>
      </c>
      <c r="BS281" t="s">
        <v>5228</v>
      </c>
      <c r="BT281" t="str">
        <f>HYPERLINK("https%3A%2F%2Fwww.webofscience.com%2Fwos%2Fwoscc%2Ffull-record%2FWOS:000257203800009","View Full Record in Web of Science")</f>
        <v>View Full Record in Web of Science</v>
      </c>
    </row>
    <row r="282" spans="1:72" x14ac:dyDescent="0.2">
      <c r="A282" t="s">
        <v>46</v>
      </c>
      <c r="B282" t="s">
        <v>5229</v>
      </c>
      <c r="C282" t="s">
        <v>16</v>
      </c>
      <c r="D282" t="s">
        <v>16</v>
      </c>
      <c r="E282" t="s">
        <v>16</v>
      </c>
      <c r="F282" t="s">
        <v>5229</v>
      </c>
      <c r="G282" t="s">
        <v>16</v>
      </c>
      <c r="H282" t="s">
        <v>16</v>
      </c>
      <c r="I282" t="s">
        <v>5230</v>
      </c>
      <c r="J282" t="s">
        <v>2045</v>
      </c>
      <c r="K282" t="s">
        <v>16</v>
      </c>
      <c r="L282" t="s">
        <v>16</v>
      </c>
      <c r="M282" t="s">
        <v>22</v>
      </c>
      <c r="N282" t="s">
        <v>51</v>
      </c>
      <c r="O282" t="s">
        <v>16</v>
      </c>
      <c r="P282" t="s">
        <v>16</v>
      </c>
      <c r="Q282" t="s">
        <v>16</v>
      </c>
      <c r="R282" t="s">
        <v>16</v>
      </c>
      <c r="S282" t="s">
        <v>16</v>
      </c>
      <c r="T282" t="s">
        <v>16</v>
      </c>
      <c r="U282" t="s">
        <v>5231</v>
      </c>
      <c r="V282" t="s">
        <v>5232</v>
      </c>
      <c r="W282" t="s">
        <v>5233</v>
      </c>
      <c r="X282" t="s">
        <v>5234</v>
      </c>
      <c r="Y282" t="s">
        <v>16</v>
      </c>
      <c r="Z282" t="s">
        <v>16</v>
      </c>
      <c r="AA282" t="s">
        <v>5235</v>
      </c>
      <c r="AB282" t="s">
        <v>5236</v>
      </c>
      <c r="AC282" t="s">
        <v>16</v>
      </c>
      <c r="AD282" t="s">
        <v>16</v>
      </c>
      <c r="AE282" t="s">
        <v>16</v>
      </c>
      <c r="AF282" t="s">
        <v>16</v>
      </c>
      <c r="AG282">
        <v>57</v>
      </c>
      <c r="AH282">
        <v>67</v>
      </c>
      <c r="AI282">
        <v>75</v>
      </c>
      <c r="AJ282">
        <v>0</v>
      </c>
      <c r="AK282">
        <v>12</v>
      </c>
      <c r="AL282" t="s">
        <v>2054</v>
      </c>
      <c r="AM282" t="s">
        <v>129</v>
      </c>
      <c r="AN282" t="s">
        <v>2055</v>
      </c>
      <c r="AO282" t="s">
        <v>2056</v>
      </c>
      <c r="AP282" t="s">
        <v>2057</v>
      </c>
      <c r="AQ282" t="s">
        <v>16</v>
      </c>
      <c r="AR282" t="s">
        <v>2058</v>
      </c>
      <c r="AS282" t="s">
        <v>2059</v>
      </c>
      <c r="AT282" t="s">
        <v>1164</v>
      </c>
      <c r="AU282">
        <v>1996</v>
      </c>
      <c r="AV282">
        <v>126</v>
      </c>
      <c r="AW282" t="s">
        <v>16</v>
      </c>
      <c r="AX282">
        <v>4</v>
      </c>
      <c r="AY282" t="s">
        <v>16</v>
      </c>
      <c r="AZ282" t="s">
        <v>16</v>
      </c>
      <c r="BA282" t="s">
        <v>16</v>
      </c>
      <c r="BB282">
        <v>403</v>
      </c>
      <c r="BC282">
        <v>419</v>
      </c>
      <c r="BD282" t="s">
        <v>16</v>
      </c>
      <c r="BE282" t="s">
        <v>5237</v>
      </c>
      <c r="BF282" t="str">
        <f>HYPERLINK("http://dx.doi.org/10.1017/S0021859600075493","http://dx.doi.org/10.1017/S0021859600075493")</f>
        <v>http://dx.doi.org/10.1017/S0021859600075493</v>
      </c>
      <c r="BG282" t="s">
        <v>16</v>
      </c>
      <c r="BH282" t="s">
        <v>16</v>
      </c>
      <c r="BI282">
        <v>17</v>
      </c>
      <c r="BJ282" t="s">
        <v>296</v>
      </c>
      <c r="BK282" t="s">
        <v>73</v>
      </c>
      <c r="BL282" t="s">
        <v>42</v>
      </c>
      <c r="BM282" t="s">
        <v>5238</v>
      </c>
      <c r="BN282" t="s">
        <v>16</v>
      </c>
      <c r="BO282" t="s">
        <v>16</v>
      </c>
      <c r="BP282" t="s">
        <v>16</v>
      </c>
      <c r="BQ282" t="s">
        <v>16</v>
      </c>
      <c r="BR282" t="s">
        <v>44</v>
      </c>
      <c r="BS282" t="s">
        <v>5239</v>
      </c>
      <c r="BT282" t="str">
        <f>HYPERLINK("https%3A%2F%2Fwww.webofscience.com%2Fwos%2Fwoscc%2Ffull-record%2FWOS:A1996UT41400004","View Full Record in Web of Science")</f>
        <v>View Full Record in Web of Science</v>
      </c>
    </row>
    <row r="283" spans="1:72" x14ac:dyDescent="0.2">
      <c r="A283" t="s">
        <v>46</v>
      </c>
      <c r="B283" t="s">
        <v>5240</v>
      </c>
      <c r="C283" t="s">
        <v>16</v>
      </c>
      <c r="D283" t="s">
        <v>16</v>
      </c>
      <c r="E283" t="s">
        <v>16</v>
      </c>
      <c r="F283" t="s">
        <v>5241</v>
      </c>
      <c r="G283" t="s">
        <v>16</v>
      </c>
      <c r="H283" t="s">
        <v>16</v>
      </c>
      <c r="I283" t="s">
        <v>5242</v>
      </c>
      <c r="J283" t="s">
        <v>5243</v>
      </c>
      <c r="K283" t="s">
        <v>16</v>
      </c>
      <c r="L283" t="s">
        <v>16</v>
      </c>
      <c r="M283" t="s">
        <v>22</v>
      </c>
      <c r="N283" t="s">
        <v>51</v>
      </c>
      <c r="O283" t="s">
        <v>16</v>
      </c>
      <c r="P283" t="s">
        <v>16</v>
      </c>
      <c r="Q283" t="s">
        <v>16</v>
      </c>
      <c r="R283" t="s">
        <v>16</v>
      </c>
      <c r="S283" t="s">
        <v>16</v>
      </c>
      <c r="T283" t="s">
        <v>5244</v>
      </c>
      <c r="U283" t="s">
        <v>5245</v>
      </c>
      <c r="V283" t="s">
        <v>5246</v>
      </c>
      <c r="W283" t="s">
        <v>5247</v>
      </c>
      <c r="X283" t="s">
        <v>5248</v>
      </c>
      <c r="Y283" t="s">
        <v>5249</v>
      </c>
      <c r="Z283" t="s">
        <v>5250</v>
      </c>
      <c r="AA283" t="s">
        <v>5251</v>
      </c>
      <c r="AB283" t="s">
        <v>5252</v>
      </c>
      <c r="AC283" t="s">
        <v>5253</v>
      </c>
      <c r="AD283" t="s">
        <v>5254</v>
      </c>
      <c r="AE283" t="s">
        <v>5255</v>
      </c>
      <c r="AF283" t="s">
        <v>16</v>
      </c>
      <c r="AG283">
        <v>46</v>
      </c>
      <c r="AH283">
        <v>9</v>
      </c>
      <c r="AI283">
        <v>9</v>
      </c>
      <c r="AJ283">
        <v>0</v>
      </c>
      <c r="AK283">
        <v>11</v>
      </c>
      <c r="AL283" t="s">
        <v>569</v>
      </c>
      <c r="AM283" t="s">
        <v>570</v>
      </c>
      <c r="AN283" t="s">
        <v>571</v>
      </c>
      <c r="AO283" t="s">
        <v>5256</v>
      </c>
      <c r="AP283" t="s">
        <v>5257</v>
      </c>
      <c r="AQ283" t="s">
        <v>16</v>
      </c>
      <c r="AR283" t="s">
        <v>5258</v>
      </c>
      <c r="AS283" t="s">
        <v>5259</v>
      </c>
      <c r="AT283" t="s">
        <v>751</v>
      </c>
      <c r="AU283">
        <v>2019</v>
      </c>
      <c r="AV283">
        <v>141</v>
      </c>
      <c r="AW283" t="s">
        <v>16</v>
      </c>
      <c r="AX283" t="s">
        <v>16</v>
      </c>
      <c r="AY283" t="s">
        <v>16</v>
      </c>
      <c r="AZ283" t="s">
        <v>16</v>
      </c>
      <c r="BA283" t="s">
        <v>16</v>
      </c>
      <c r="BB283" t="s">
        <v>16</v>
      </c>
      <c r="BC283" t="s">
        <v>16</v>
      </c>
      <c r="BD283">
        <v>111786</v>
      </c>
      <c r="BE283" t="s">
        <v>5260</v>
      </c>
      <c r="BF283" t="str">
        <f>HYPERLINK("http://dx.doi.org/10.1016/j.indcrop.2019.111786","http://dx.doi.org/10.1016/j.indcrop.2019.111786")</f>
        <v>http://dx.doi.org/10.1016/j.indcrop.2019.111786</v>
      </c>
      <c r="BG283" t="s">
        <v>16</v>
      </c>
      <c r="BH283" t="s">
        <v>16</v>
      </c>
      <c r="BI283">
        <v>10</v>
      </c>
      <c r="BJ283" t="s">
        <v>296</v>
      </c>
      <c r="BK283" t="s">
        <v>73</v>
      </c>
      <c r="BL283" t="s">
        <v>42</v>
      </c>
      <c r="BM283" t="s">
        <v>5261</v>
      </c>
      <c r="BN283" t="s">
        <v>16</v>
      </c>
      <c r="BO283" t="s">
        <v>16</v>
      </c>
      <c r="BP283" t="s">
        <v>16</v>
      </c>
      <c r="BQ283" t="s">
        <v>16</v>
      </c>
      <c r="BR283" t="s">
        <v>44</v>
      </c>
      <c r="BS283" t="s">
        <v>5262</v>
      </c>
      <c r="BT283" t="str">
        <f>HYPERLINK("https%3A%2F%2Fwww.webofscience.com%2Fwos%2Fwoscc%2Ffull-record%2FWOS:000496611800042","View Full Record in Web of Science")</f>
        <v>View Full Record in Web of Science</v>
      </c>
    </row>
  </sheetData>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B30B1-E993-41FC-9311-4FE2F0D2E2D6}">
  <dimension ref="A1"/>
  <sheetViews>
    <sheetView workbookViewId="0">
      <selection sqref="A1:IV1"/>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savedrecs</vt:lpstr>
      <vt:lpstr>Folha1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Coordenador - Coext</dc:creator>
  <cp:lastModifiedBy>Danilo Pereira</cp:lastModifiedBy>
  <dcterms:created xsi:type="dcterms:W3CDTF">2025-03-20T00:19:25Z</dcterms:created>
  <dcterms:modified xsi:type="dcterms:W3CDTF">2025-03-20T00:51:23Z</dcterms:modified>
</cp:coreProperties>
</file>